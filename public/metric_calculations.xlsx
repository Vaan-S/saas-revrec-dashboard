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cts" sheetId="1" state="visible" r:id="rId3"/>
    <sheet name="Recognized Rev" sheetId="2" state="visible" r:id="rId4"/>
    <sheet name="Usage Rev" sheetId="3" state="visible" r:id="rId5"/>
    <sheet name="Deferred Rev" sheetId="4" state="visible" r:id="rId6"/>
    <sheet name="Metrics Summary" sheetId="5" state="visible" r:id="rId7"/>
    <sheet name="NRR Cohor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<sst xmlns="http://schemas.openxmlformats.org/spreadsheetml/2006/main" count="236" uniqueCount="106">
  <si>
    <t xml:space="preserve">Contract Inputs</t>
  </si>
  <si>
    <t xml:space="preserve">Blue = hardcoded input. These feed every other sheet. All values CAD.</t>
  </si>
  <si>
    <t xml:space="preserve">Row</t>
  </si>
  <si>
    <t xml:space="preserve">Customer</t>
  </si>
  <si>
    <t xml:space="preserve">Plan</t>
  </si>
  <si>
    <t xml:space="preserve">Billing</t>
  </si>
  <si>
    <t xml:space="preserve">Annual Value</t>
  </si>
  <si>
    <t xml:space="preserve">Monthly Value</t>
  </si>
  <si>
    <t xml:space="preserve">Start Month</t>
  </si>
  <si>
    <t xml:space="preserve">Start Idx</t>
  </si>
  <si>
    <t xml:space="preserve">Active?</t>
  </si>
  <si>
    <t xml:space="preserve">Churn Month</t>
  </si>
  <si>
    <t xml:space="preserve">Churn Type</t>
  </si>
  <si>
    <t xml:space="preserve">Fixed Fee/mo</t>
  </si>
  <si>
    <t xml:space="preserve">Aurora Retail</t>
  </si>
  <si>
    <t xml:space="preserve">Growth</t>
  </si>
  <si>
    <t xml:space="preserve">Annual</t>
  </si>
  <si>
    <t xml:space="preserve">Jan</t>
  </si>
  <si>
    <t xml:space="preserve">Yes</t>
  </si>
  <si>
    <t xml:space="preserve">Beacon Health</t>
  </si>
  <si>
    <t xml:space="preserve">Enterprise</t>
  </si>
  <si>
    <t xml:space="preserve">Everest Fintech</t>
  </si>
  <si>
    <t xml:space="preserve">Apr</t>
  </si>
  <si>
    <t xml:space="preserve">Fjord Media</t>
  </si>
  <si>
    <t xml:space="preserve">May</t>
  </si>
  <si>
    <t xml:space="preserve">Glacier Foods</t>
  </si>
  <si>
    <t xml:space="preserve">Starter</t>
  </si>
  <si>
    <t xml:space="preserve">Monthly</t>
  </si>
  <si>
    <t xml:space="preserve">Jun</t>
  </si>
  <si>
    <t xml:space="preserve">No</t>
  </si>
  <si>
    <t xml:space="preserve">Oct</t>
  </si>
  <si>
    <t xml:space="preserve">Harbour Analytics</t>
  </si>
  <si>
    <t xml:space="preserve">Jul</t>
  </si>
  <si>
    <t xml:space="preserve">Iron Systems</t>
  </si>
  <si>
    <t xml:space="preserve">Aug</t>
  </si>
  <si>
    <t xml:space="preserve">Juniper SaaS</t>
  </si>
  <si>
    <t xml:space="preserve">Sep</t>
  </si>
  <si>
    <t xml:space="preserve">Kestrel Robotics</t>
  </si>
  <si>
    <t xml:space="preserve">Feb</t>
  </si>
  <si>
    <t xml:space="preserve">forfeit</t>
  </si>
  <si>
    <t xml:space="preserve">Larch Biotech</t>
  </si>
  <si>
    <t xml:space="preserve">Mar</t>
  </si>
  <si>
    <t xml:space="preserve">refund</t>
  </si>
  <si>
    <t xml:space="preserve">Meridian Data</t>
  </si>
  <si>
    <t xml:space="preserve">Usage</t>
  </si>
  <si>
    <t xml:space="preserve">Nimbus Networks</t>
  </si>
  <si>
    <t xml:space="preserve">Hybrid</t>
  </si>
  <si>
    <t xml:space="preserve">Recognized Revenue — per customer, per month</t>
  </si>
  <si>
    <t xml:space="preserve">Subscription: recognized = Annual/12 for each month in service (start ≤ month &lt; churn). Annual forfeit adds remaining deferred to revenue in the churn month. Usage: pulled from Usage Rev sheet.</t>
  </si>
  <si>
    <t xml:space="preserve">Nov</t>
  </si>
  <si>
    <t xml:space="preserve">Dec</t>
  </si>
  <si>
    <t xml:space="preserve">Total</t>
  </si>
  <si>
    <t xml:space="preserve">TOTAL (model)</t>
  </si>
  <si>
    <t xml:space="preserve">Usage Revenue — per customer, per month</t>
  </si>
  <si>
    <t xml:space="preserve">Usage recognized as consumed (billed in arrears, no deferred). Hybrid customers also carry a fixed platform fee, shown on its own line. Usage amounts (blue) are metered consumption per month.</t>
  </si>
  <si>
    <t xml:space="preserve">Component</t>
  </si>
  <si>
    <t xml:space="preserve">Usage (variable)</t>
  </si>
  <si>
    <t xml:space="preserve">Fixed platform fee</t>
  </si>
  <si>
    <t xml:space="preserve">Total recognized</t>
  </si>
  <si>
    <t xml:space="preserve">Roll-ups:</t>
  </si>
  <si>
    <t xml:space="preserve">Usage (excl. fixed)</t>
  </si>
  <si>
    <t xml:space="preserve">pure usage</t>
  </si>
  <si>
    <t xml:space="preserve">Fixed fees (recurring)</t>
  </si>
  <si>
    <t xml:space="preserve">into MRR</t>
  </si>
  <si>
    <t xml:space="preserve">Deferred Revenue — rollforward</t>
  </si>
  <si>
    <t xml:space="preserve">Deferred = cumulative (Bookings − Recognized − Refunds). Annual contracts book the full year at start; monthly/usage book as they recognize (no deferred). Refund clears remaining deferred to cash.</t>
  </si>
  <si>
    <t xml:space="preserve">Month</t>
  </si>
  <si>
    <t xml:space="preserve">Bookings</t>
  </si>
  <si>
    <t xml:space="preserve">Recognized</t>
  </si>
  <si>
    <t xml:space="preserve">Refunds</t>
  </si>
  <si>
    <t xml:space="preserve">Deferred (end)</t>
  </si>
  <si>
    <t xml:space="preserve">Metrics Summary — how each dashboard figure is built</t>
  </si>
  <si>
    <t xml:space="preserve">Every cell is a formula linking back to the other sheets. Change an input on Contracts and this recalculates.</t>
  </si>
  <si>
    <t xml:space="preserve">Metric</t>
  </si>
  <si>
    <t xml:space="preserve">Recognized (this mo.)</t>
  </si>
  <si>
    <t xml:space="preserve">Usage Rev. (this mo.)</t>
  </si>
  <si>
    <t xml:space="preserve">Forfeit bump (one-time)</t>
  </si>
  <si>
    <t xml:space="preserve">MRR expansion/contraction (memo)</t>
  </si>
  <si>
    <t xml:space="preserve">MRR</t>
  </si>
  <si>
    <t xml:space="preserve">ARR</t>
  </si>
  <si>
    <t xml:space="preserve">Deferred Revenue (end)</t>
  </si>
  <si>
    <t xml:space="preserve">Net Rev. Retention (cohort)</t>
  </si>
  <si>
    <t xml:space="preserve">How each metric is derived (all figures are point-in-time — they reflect only what has happened up to each month):</t>
  </si>
  <si>
    <t xml:space="preserve">• Recognized (this mo.) = sum of every customer's recognized revenue that month (Recognized Rev sheet, TOTAL row). Includes usage, fixed fees, and any forfeit release.</t>
  </si>
  <si>
    <t xml:space="preserve">• Usage Rev. (this mo.) = pure metered usage only, excluding fixed platform fees (Usage Rev sheet).</t>
  </si>
  <si>
    <t xml:space="preserve">• Forfeit bump = one-time deferred released to revenue when an annual contract churns non-refundably. Shown separately so MRR stays a clean run-rate.</t>
  </si>
  <si>
    <t xml:space="preserve">• MRR expansion/contraction (memo) = cumulative recurring MRR change from upgrades/downgrades to date. Memo only — it is already inside Recognized, so it is not re-added.</t>
  </si>
  <si>
    <t xml:space="preserve">• MRR = Recognized − pure Usage − Forfeit bump. Expansion/contraction flows in through Recognized automatically. The recurring monthly run-rate.</t>
  </si>
  <si>
    <t xml:space="preserve">• ARR = MRR × 12.</t>
  </si>
  <si>
    <t xml:space="preserve">• Deferred Revenue (end) = cumulative Bookings − Recognized − Refunds, floored at 0 (Deferred Rev sheet).</t>
  </si>
  <si>
    <t xml:space="preserve">• Net Rev. Retention (cohort) = cohort walk on the customers active in January, as of each month. See the NRR Cohort sheet for the full calculation.</t>
  </si>
  <si>
    <t xml:space="preserve">Net Revenue Retention — cohort walk (point-in-time)</t>
  </si>
  <si>
    <t xml:space="preserve">Cohort = customers active in January. Each month shows only events that have happened by then: future churn/expansion does not appear early. NRR = (Start + Expansion - Contraction - Churn) / Start.</t>
  </si>
  <si>
    <t xml:space="preserve">Cohort members (active in January):</t>
  </si>
  <si>
    <t xml:space="preserve">Starting MRR</t>
  </si>
  <si>
    <t xml:space="preserve">Event</t>
  </si>
  <si>
    <t xml:space="preserve">Event Month</t>
  </si>
  <si>
    <t xml:space="preserve">Delta</t>
  </si>
  <si>
    <t xml:space="preserve">Expansion</t>
  </si>
  <si>
    <t xml:space="preserve">Contraction</t>
  </si>
  <si>
    <t xml:space="preserve">Monthly cohort walk (as of each month):</t>
  </si>
  <si>
    <t xml:space="preserve">Expansion (+)</t>
  </si>
  <si>
    <t xml:space="preserve">Contraction (-)</t>
  </si>
  <si>
    <t xml:space="preserve">Churn (-)</t>
  </si>
  <si>
    <t xml:space="preserve">Ending MRR (=)</t>
  </si>
  <si>
    <t xml:space="preserve">NRR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</si>
</sst>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B4E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B2B4E"/>
      <name val="Arial"/>
      <family val="0"/>
      <charset val="1"/>
    </font>
    <font>
      <b val="true"/>
      <sz val="9"/>
      <color rgb="FF0B2B4E"/>
      <name val="Arial"/>
      <family val="0"/>
      <charset val="1"/>
    </font>
    <font>
      <sz val="9"/>
      <color rgb="FF66708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B4E"/>
        <bgColor rgb="FF333333"/>
      </patternFill>
    </fill>
    <fill>
      <patternFill patternType="solid">
        <fgColor rgb="FFF7F8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8FA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B2B4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9" min="8" style="0" width="9"/>
    <col collapsed="false" customWidth="true" hidden="false" outlineLevel="0" max="10" min="10" style="0" width="13"/>
    <col collapsed="false" customWidth="true" hidden="false" outlineLevel="0" max="12" min="11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n">
        <v>1</v>
      </c>
      <c r="B5" s="4" t="s">
        <v>14</v>
      </c>
      <c r="C5" s="4" t="s">
        <v>15</v>
      </c>
      <c r="D5" s="4" t="s">
        <v>16</v>
      </c>
      <c r="E5" s="5" t="n">
        <v>4800</v>
      </c>
      <c r="F5" s="6" t="n">
        <f aca="false">E5/12</f>
        <v>400</v>
      </c>
      <c r="G5" s="4" t="s">
        <v>17</v>
      </c>
      <c r="H5" s="7" t="n">
        <v>0</v>
      </c>
      <c r="I5" s="4" t="s">
        <v>18</v>
      </c>
      <c r="J5" s="4"/>
      <c r="K5" s="4"/>
      <c r="L5" s="5" t="n">
        <v>0</v>
      </c>
    </row>
    <row r="6" customFormat="false" ht="15" hidden="false" customHeight="false" outlineLevel="0" collapsed="false">
      <c r="A6" s="4" t="n">
        <v>2</v>
      </c>
      <c r="B6" s="4" t="s">
        <v>19</v>
      </c>
      <c r="C6" s="4" t="s">
        <v>20</v>
      </c>
      <c r="D6" s="4" t="s">
        <v>16</v>
      </c>
      <c r="E6" s="5" t="n">
        <v>18000</v>
      </c>
      <c r="F6" s="6" t="n">
        <f aca="false">E6/12</f>
        <v>1500</v>
      </c>
      <c r="G6" s="4" t="s">
        <v>17</v>
      </c>
      <c r="H6" s="7" t="n">
        <v>0</v>
      </c>
      <c r="I6" s="4" t="s">
        <v>18</v>
      </c>
      <c r="J6" s="4"/>
      <c r="K6" s="4"/>
      <c r="L6" s="5" t="n">
        <v>0</v>
      </c>
    </row>
    <row r="7" customFormat="false" ht="15" hidden="false" customHeight="false" outlineLevel="0" collapsed="false">
      <c r="A7" s="4" t="n">
        <v>5</v>
      </c>
      <c r="B7" s="4" t="s">
        <v>21</v>
      </c>
      <c r="C7" s="4" t="s">
        <v>20</v>
      </c>
      <c r="D7" s="4" t="s">
        <v>16</v>
      </c>
      <c r="E7" s="5" t="n">
        <v>18000</v>
      </c>
      <c r="F7" s="6" t="n">
        <f aca="false">E7/12</f>
        <v>1500</v>
      </c>
      <c r="G7" s="4" t="s">
        <v>22</v>
      </c>
      <c r="H7" s="7" t="n">
        <v>3</v>
      </c>
      <c r="I7" s="4" t="s">
        <v>18</v>
      </c>
      <c r="J7" s="4"/>
      <c r="K7" s="4"/>
      <c r="L7" s="5" t="n">
        <v>0</v>
      </c>
    </row>
    <row r="8" customFormat="false" ht="15" hidden="false" customHeight="false" outlineLevel="0" collapsed="false">
      <c r="A8" s="4" t="n">
        <v>6</v>
      </c>
      <c r="B8" s="4" t="s">
        <v>23</v>
      </c>
      <c r="C8" s="4" t="s">
        <v>15</v>
      </c>
      <c r="D8" s="4" t="s">
        <v>16</v>
      </c>
      <c r="E8" s="5" t="n">
        <v>4800</v>
      </c>
      <c r="F8" s="6" t="n">
        <f aca="false">E8/12</f>
        <v>400</v>
      </c>
      <c r="G8" s="4" t="s">
        <v>24</v>
      </c>
      <c r="H8" s="7" t="n">
        <v>4</v>
      </c>
      <c r="I8" s="4" t="s">
        <v>18</v>
      </c>
      <c r="J8" s="4"/>
      <c r="K8" s="4"/>
      <c r="L8" s="5" t="n">
        <v>0</v>
      </c>
    </row>
    <row r="9" customFormat="false" ht="15" hidden="false" customHeight="false" outlineLevel="0" collapsed="false">
      <c r="A9" s="4" t="n">
        <v>7</v>
      </c>
      <c r="B9" s="4" t="s">
        <v>25</v>
      </c>
      <c r="C9" s="4" t="s">
        <v>26</v>
      </c>
      <c r="D9" s="4" t="s">
        <v>27</v>
      </c>
      <c r="E9" s="5" t="n">
        <v>1200</v>
      </c>
      <c r="F9" s="6" t="n">
        <f aca="false">E9/12</f>
        <v>100</v>
      </c>
      <c r="G9" s="4" t="s">
        <v>28</v>
      </c>
      <c r="H9" s="7" t="n">
        <v>5</v>
      </c>
      <c r="I9" s="4" t="s">
        <v>29</v>
      </c>
      <c r="J9" s="4" t="s">
        <v>30</v>
      </c>
      <c r="K9" s="4"/>
      <c r="L9" s="5" t="n">
        <v>0</v>
      </c>
    </row>
    <row r="10" customFormat="false" ht="15" hidden="false" customHeight="false" outlineLevel="0" collapsed="false">
      <c r="A10" s="4" t="n">
        <v>8</v>
      </c>
      <c r="B10" s="4" t="s">
        <v>31</v>
      </c>
      <c r="C10" s="4" t="s">
        <v>20</v>
      </c>
      <c r="D10" s="4" t="s">
        <v>27</v>
      </c>
      <c r="E10" s="5" t="n">
        <v>18000</v>
      </c>
      <c r="F10" s="6" t="n">
        <f aca="false">E10/12</f>
        <v>1500</v>
      </c>
      <c r="G10" s="4" t="s">
        <v>32</v>
      </c>
      <c r="H10" s="7" t="n">
        <v>6</v>
      </c>
      <c r="I10" s="4" t="s">
        <v>18</v>
      </c>
      <c r="J10" s="4"/>
      <c r="K10" s="4"/>
      <c r="L10" s="5" t="n">
        <v>0</v>
      </c>
    </row>
    <row r="11" customFormat="false" ht="15" hidden="false" customHeight="false" outlineLevel="0" collapsed="false">
      <c r="A11" s="4" t="n">
        <v>9</v>
      </c>
      <c r="B11" s="4" t="s">
        <v>33</v>
      </c>
      <c r="C11" s="4" t="s">
        <v>15</v>
      </c>
      <c r="D11" s="4" t="s">
        <v>16</v>
      </c>
      <c r="E11" s="5" t="n">
        <v>4800</v>
      </c>
      <c r="F11" s="6" t="n">
        <f aca="false">E11/12</f>
        <v>400</v>
      </c>
      <c r="G11" s="4" t="s">
        <v>34</v>
      </c>
      <c r="H11" s="7" t="n">
        <v>7</v>
      </c>
      <c r="I11" s="4" t="s">
        <v>18</v>
      </c>
      <c r="J11" s="4"/>
      <c r="K11" s="4"/>
      <c r="L11" s="5" t="n">
        <v>0</v>
      </c>
    </row>
    <row r="12" customFormat="false" ht="15" hidden="false" customHeight="false" outlineLevel="0" collapsed="false">
      <c r="A12" s="4" t="n">
        <v>10</v>
      </c>
      <c r="B12" s="4" t="s">
        <v>35</v>
      </c>
      <c r="C12" s="4" t="s">
        <v>26</v>
      </c>
      <c r="D12" s="4" t="s">
        <v>16</v>
      </c>
      <c r="E12" s="5" t="n">
        <v>1200</v>
      </c>
      <c r="F12" s="6" t="n">
        <f aca="false">E12/12</f>
        <v>100</v>
      </c>
      <c r="G12" s="4" t="s">
        <v>36</v>
      </c>
      <c r="H12" s="7" t="n">
        <v>8</v>
      </c>
      <c r="I12" s="4" t="s">
        <v>18</v>
      </c>
      <c r="J12" s="4"/>
      <c r="K12" s="4"/>
      <c r="L12" s="5" t="n">
        <v>0</v>
      </c>
    </row>
    <row r="13" customFormat="false" ht="15" hidden="false" customHeight="false" outlineLevel="0" collapsed="false">
      <c r="A13" s="4" t="n">
        <v>11</v>
      </c>
      <c r="B13" s="4" t="s">
        <v>37</v>
      </c>
      <c r="C13" s="4" t="s">
        <v>15</v>
      </c>
      <c r="D13" s="4" t="s">
        <v>16</v>
      </c>
      <c r="E13" s="5" t="n">
        <v>4800</v>
      </c>
      <c r="F13" s="6" t="n">
        <f aca="false">E13/12</f>
        <v>400</v>
      </c>
      <c r="G13" s="4" t="s">
        <v>38</v>
      </c>
      <c r="H13" s="7" t="n">
        <v>1</v>
      </c>
      <c r="I13" s="4" t="s">
        <v>29</v>
      </c>
      <c r="J13" s="4" t="s">
        <v>34</v>
      </c>
      <c r="K13" s="4" t="s">
        <v>39</v>
      </c>
      <c r="L13" s="5" t="n">
        <v>0</v>
      </c>
    </row>
    <row r="14" customFormat="false" ht="15" hidden="false" customHeight="false" outlineLevel="0" collapsed="false">
      <c r="A14" s="4" t="n">
        <v>12</v>
      </c>
      <c r="B14" s="4" t="s">
        <v>40</v>
      </c>
      <c r="C14" s="4" t="s">
        <v>20</v>
      </c>
      <c r="D14" s="4" t="s">
        <v>16</v>
      </c>
      <c r="E14" s="5" t="n">
        <v>18000</v>
      </c>
      <c r="F14" s="6" t="n">
        <f aca="false">E14/12</f>
        <v>1500</v>
      </c>
      <c r="G14" s="4" t="s">
        <v>41</v>
      </c>
      <c r="H14" s="7" t="n">
        <v>2</v>
      </c>
      <c r="I14" s="4" t="s">
        <v>29</v>
      </c>
      <c r="J14" s="4" t="s">
        <v>36</v>
      </c>
      <c r="K14" s="4" t="s">
        <v>42</v>
      </c>
      <c r="L14" s="5" t="n">
        <v>0</v>
      </c>
    </row>
    <row r="15" customFormat="false" ht="15" hidden="false" customHeight="false" outlineLevel="0" collapsed="false">
      <c r="A15" s="4" t="n">
        <v>13</v>
      </c>
      <c r="B15" s="4" t="s">
        <v>43</v>
      </c>
      <c r="C15" s="4" t="s">
        <v>44</v>
      </c>
      <c r="D15" s="4" t="s">
        <v>44</v>
      </c>
      <c r="E15" s="5" t="n">
        <v>0</v>
      </c>
      <c r="F15" s="6" t="n">
        <f aca="false">E15/12</f>
        <v>0</v>
      </c>
      <c r="G15" s="4" t="s">
        <v>41</v>
      </c>
      <c r="H15" s="7" t="n">
        <v>2</v>
      </c>
      <c r="I15" s="4" t="s">
        <v>18</v>
      </c>
      <c r="J15" s="4"/>
      <c r="K15" s="4"/>
      <c r="L15" s="5" t="n">
        <v>0</v>
      </c>
    </row>
    <row r="16" customFormat="false" ht="15" hidden="false" customHeight="false" outlineLevel="0" collapsed="false">
      <c r="A16" s="4" t="n">
        <v>14</v>
      </c>
      <c r="B16" s="4" t="s">
        <v>45</v>
      </c>
      <c r="C16" s="4" t="s">
        <v>46</v>
      </c>
      <c r="D16" s="4" t="s">
        <v>44</v>
      </c>
      <c r="E16" s="5" t="n">
        <v>0</v>
      </c>
      <c r="F16" s="6" t="n">
        <f aca="false">E16/12</f>
        <v>0</v>
      </c>
      <c r="G16" s="4" t="s">
        <v>22</v>
      </c>
      <c r="H16" s="7" t="n">
        <v>3</v>
      </c>
      <c r="I16" s="4" t="s">
        <v>18</v>
      </c>
      <c r="J16" s="4"/>
      <c r="K16" s="4"/>
      <c r="L16" s="5" t="n"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14" min="3" style="0" width="9"/>
    <col collapsed="false" customWidth="true" hidden="false" outlineLevel="0" max="15" min="15" style="0" width="11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3" t="s">
        <v>3</v>
      </c>
      <c r="B4" s="3" t="s">
        <v>5</v>
      </c>
      <c r="C4" s="3" t="s">
        <v>17</v>
      </c>
      <c r="D4" s="3" t="s">
        <v>38</v>
      </c>
      <c r="E4" s="3" t="s">
        <v>41</v>
      </c>
      <c r="F4" s="3" t="s">
        <v>22</v>
      </c>
      <c r="G4" s="3" t="s">
        <v>24</v>
      </c>
      <c r="H4" s="3" t="s">
        <v>28</v>
      </c>
      <c r="I4" s="3" t="s">
        <v>32</v>
      </c>
      <c r="J4" s="3" t="s">
        <v>34</v>
      </c>
      <c r="K4" s="3" t="s">
        <v>36</v>
      </c>
      <c r="L4" s="3" t="s">
        <v>30</v>
      </c>
      <c r="M4" s="3" t="s">
        <v>49</v>
      </c>
      <c r="N4" s="3" t="s">
        <v>50</v>
      </c>
      <c r="O4" s="3" t="s">
        <v>51</v>
      </c>
    </row>
    <row r="5" customFormat="false" ht="15" hidden="false" customHeight="false" outlineLevel="0" collapsed="false">
      <c r="A5" s="8" t="s">
        <v>14</v>
      </c>
      <c r="B5" s="8" t="s">
        <v>16</v>
      </c>
      <c r="C5" s="6" t="n">
        <f aca="false">IF(AND(0&gt;=Contracts!$H$5, 0&lt;12), Contracts!$F$5, 0)</f>
        <v>400</v>
      </c>
      <c r="D5" s="6" t="n">
        <f aca="false">IF(AND(1&gt;=Contracts!$H$5, 1&lt;12), Contracts!$F$5, 0)</f>
        <v>400</v>
      </c>
      <c r="E5" s="6" t="n">
        <f aca="false">IF(AND(2&gt;=Contracts!$H$5, 2&lt;12), Contracts!$F$5, 0)</f>
        <v>400</v>
      </c>
      <c r="F5" s="6" t="n">
        <f aca="false">IF(AND(3&gt;=Contracts!$H$5, 3&lt;12), Contracts!$F$5, 0)</f>
        <v>400</v>
      </c>
      <c r="G5" s="6" t="n">
        <f aca="false">IF(AND(4&gt;=Contracts!$H$5, 4&lt;12), Contracts!$F$5, 0)</f>
        <v>400</v>
      </c>
      <c r="H5" s="6" t="n">
        <f aca="false">IF(AND(5&gt;=Contracts!$H$5, 5&lt;12), Contracts!$F$5, 0) + (200)</f>
        <v>600</v>
      </c>
      <c r="I5" s="6" t="n">
        <f aca="false">IF(AND(6&gt;=Contracts!$H$5, 6&lt;12), Contracts!$F$5, 0) + (200)</f>
        <v>600</v>
      </c>
      <c r="J5" s="6" t="n">
        <f aca="false">IF(AND(7&gt;=Contracts!$H$5, 7&lt;12), Contracts!$F$5, 0) + (200)</f>
        <v>600</v>
      </c>
      <c r="K5" s="6" t="n">
        <f aca="false">IF(AND(8&gt;=Contracts!$H$5, 8&lt;12), Contracts!$F$5, 0) + (200)</f>
        <v>600</v>
      </c>
      <c r="L5" s="6" t="n">
        <f aca="false">IF(AND(9&gt;=Contracts!$H$5, 9&lt;12), Contracts!$F$5, 0) + (200)</f>
        <v>600</v>
      </c>
      <c r="M5" s="6" t="n">
        <f aca="false">IF(AND(10&gt;=Contracts!$H$5, 10&lt;12), Contracts!$F$5, 0) + (200)</f>
        <v>600</v>
      </c>
      <c r="N5" s="6" t="n">
        <f aca="false">IF(AND(11&gt;=Contracts!$H$5, 11&lt;12), Contracts!$F$5, 0) + (200)</f>
        <v>600</v>
      </c>
      <c r="O5" s="9" t="n">
        <f aca="false">SUM(C5:N5)</f>
        <v>6200</v>
      </c>
    </row>
    <row r="6" customFormat="false" ht="15" hidden="false" customHeight="false" outlineLevel="0" collapsed="false">
      <c r="A6" s="8" t="s">
        <v>19</v>
      </c>
      <c r="B6" s="8" t="s">
        <v>16</v>
      </c>
      <c r="C6" s="6" t="n">
        <f aca="false">IF(AND(0&gt;=Contracts!$H$6, 0&lt;12), Contracts!$F$6, 0)</f>
        <v>1500</v>
      </c>
      <c r="D6" s="6" t="n">
        <f aca="false">IF(AND(1&gt;=Contracts!$H$6, 1&lt;12), Contracts!$F$6, 0)</f>
        <v>1500</v>
      </c>
      <c r="E6" s="6" t="n">
        <f aca="false">IF(AND(2&gt;=Contracts!$H$6, 2&lt;12), Contracts!$F$6, 0)</f>
        <v>1500</v>
      </c>
      <c r="F6" s="6" t="n">
        <f aca="false">IF(AND(3&gt;=Contracts!$H$6, 3&lt;12), Contracts!$F$6, 0)</f>
        <v>1500</v>
      </c>
      <c r="G6" s="6" t="n">
        <f aca="false">IF(AND(4&gt;=Contracts!$H$6, 4&lt;12), Contracts!$F$6, 0)</f>
        <v>1500</v>
      </c>
      <c r="H6" s="6" t="n">
        <f aca="false">IF(AND(5&gt;=Contracts!$H$6, 5&lt;12), Contracts!$F$6, 0)</f>
        <v>1500</v>
      </c>
      <c r="I6" s="6" t="n">
        <f aca="false">IF(AND(6&gt;=Contracts!$H$6, 6&lt;12), Contracts!$F$6, 0) + (-300)</f>
        <v>1200</v>
      </c>
      <c r="J6" s="6" t="n">
        <f aca="false">IF(AND(7&gt;=Contracts!$H$6, 7&lt;12), Contracts!$F$6, 0) + (-300)</f>
        <v>1200</v>
      </c>
      <c r="K6" s="6" t="n">
        <f aca="false">IF(AND(8&gt;=Contracts!$H$6, 8&lt;12), Contracts!$F$6, 0) + (-300)</f>
        <v>1200</v>
      </c>
      <c r="L6" s="6" t="n">
        <f aca="false">IF(AND(9&gt;=Contracts!$H$6, 9&lt;12), Contracts!$F$6, 0) + (-300)</f>
        <v>1200</v>
      </c>
      <c r="M6" s="6" t="n">
        <f aca="false">IF(AND(10&gt;=Contracts!$H$6, 10&lt;12), Contracts!$F$6, 0) + (-300)</f>
        <v>1200</v>
      </c>
      <c r="N6" s="6" t="n">
        <f aca="false">IF(AND(11&gt;=Contracts!$H$6, 11&lt;12), Contracts!$F$6, 0) + (-300)</f>
        <v>1200</v>
      </c>
      <c r="O6" s="9" t="n">
        <f aca="false">SUM(C6:N6)</f>
        <v>16200</v>
      </c>
    </row>
    <row r="7" customFormat="false" ht="15" hidden="false" customHeight="false" outlineLevel="0" collapsed="false">
      <c r="A7" s="8" t="s">
        <v>21</v>
      </c>
      <c r="B7" s="8" t="s">
        <v>16</v>
      </c>
      <c r="C7" s="6" t="n">
        <f aca="false">IF(AND(0&gt;=Contracts!$H$7, 0&lt;12), Contracts!$F$7, 0)</f>
        <v>0</v>
      </c>
      <c r="D7" s="6" t="n">
        <f aca="false">IF(AND(1&gt;=Contracts!$H$7, 1&lt;12), Contracts!$F$7, 0)</f>
        <v>0</v>
      </c>
      <c r="E7" s="6" t="n">
        <f aca="false">IF(AND(2&gt;=Contracts!$H$7, 2&lt;12), Contracts!$F$7, 0)</f>
        <v>0</v>
      </c>
      <c r="F7" s="6" t="n">
        <f aca="false">IF(AND(3&gt;=Contracts!$H$7, 3&lt;12), Contracts!$F$7, 0)</f>
        <v>1500</v>
      </c>
      <c r="G7" s="6" t="n">
        <f aca="false">IF(AND(4&gt;=Contracts!$H$7, 4&lt;12), Contracts!$F$7, 0)</f>
        <v>1500</v>
      </c>
      <c r="H7" s="6" t="n">
        <f aca="false">IF(AND(5&gt;=Contracts!$H$7, 5&lt;12), Contracts!$F$7, 0)</f>
        <v>1500</v>
      </c>
      <c r="I7" s="6" t="n">
        <f aca="false">IF(AND(6&gt;=Contracts!$H$7, 6&lt;12), Contracts!$F$7, 0)</f>
        <v>1500</v>
      </c>
      <c r="J7" s="6" t="n">
        <f aca="false">IF(AND(7&gt;=Contracts!$H$7, 7&lt;12), Contracts!$F$7, 0)</f>
        <v>1500</v>
      </c>
      <c r="K7" s="6" t="n">
        <f aca="false">IF(AND(8&gt;=Contracts!$H$7, 8&lt;12), Contracts!$F$7, 0)</f>
        <v>1500</v>
      </c>
      <c r="L7" s="6" t="n">
        <f aca="false">IF(AND(9&gt;=Contracts!$H$7, 9&lt;12), Contracts!$F$7, 0)</f>
        <v>1500</v>
      </c>
      <c r="M7" s="6" t="n">
        <f aca="false">IF(AND(10&gt;=Contracts!$H$7, 10&lt;12), Contracts!$F$7, 0)</f>
        <v>1500</v>
      </c>
      <c r="N7" s="6" t="n">
        <f aca="false">IF(AND(11&gt;=Contracts!$H$7, 11&lt;12), Contracts!$F$7, 0)</f>
        <v>1500</v>
      </c>
      <c r="O7" s="9" t="n">
        <f aca="false">SUM(C7:N7)</f>
        <v>13500</v>
      </c>
    </row>
    <row r="8" customFormat="false" ht="15" hidden="false" customHeight="false" outlineLevel="0" collapsed="false">
      <c r="A8" s="8" t="s">
        <v>23</v>
      </c>
      <c r="B8" s="8" t="s">
        <v>16</v>
      </c>
      <c r="C8" s="6" t="n">
        <f aca="false">IF(AND(0&gt;=Contracts!$H$8, 0&lt;12), Contracts!$F$8, 0)</f>
        <v>0</v>
      </c>
      <c r="D8" s="6" t="n">
        <f aca="false">IF(AND(1&gt;=Contracts!$H$8, 1&lt;12), Contracts!$F$8, 0)</f>
        <v>0</v>
      </c>
      <c r="E8" s="6" t="n">
        <f aca="false">IF(AND(2&gt;=Contracts!$H$8, 2&lt;12), Contracts!$F$8, 0)</f>
        <v>0</v>
      </c>
      <c r="F8" s="6" t="n">
        <f aca="false">IF(AND(3&gt;=Contracts!$H$8, 3&lt;12), Contracts!$F$8, 0)</f>
        <v>0</v>
      </c>
      <c r="G8" s="6" t="n">
        <f aca="false">IF(AND(4&gt;=Contracts!$H$8, 4&lt;12), Contracts!$F$8, 0)</f>
        <v>400</v>
      </c>
      <c r="H8" s="6" t="n">
        <f aca="false">IF(AND(5&gt;=Contracts!$H$8, 5&lt;12), Contracts!$F$8, 0)</f>
        <v>400</v>
      </c>
      <c r="I8" s="6" t="n">
        <f aca="false">IF(AND(6&gt;=Contracts!$H$8, 6&lt;12), Contracts!$F$8, 0)</f>
        <v>400</v>
      </c>
      <c r="J8" s="6" t="n">
        <f aca="false">IF(AND(7&gt;=Contracts!$H$8, 7&lt;12), Contracts!$F$8, 0)</f>
        <v>400</v>
      </c>
      <c r="K8" s="6" t="n">
        <f aca="false">IF(AND(8&gt;=Contracts!$H$8, 8&lt;12), Contracts!$F$8, 0)</f>
        <v>400</v>
      </c>
      <c r="L8" s="6" t="n">
        <f aca="false">IF(AND(9&gt;=Contracts!$H$8, 9&lt;12), Contracts!$F$8, 0)</f>
        <v>400</v>
      </c>
      <c r="M8" s="6" t="n">
        <f aca="false">IF(AND(10&gt;=Contracts!$H$8, 10&lt;12), Contracts!$F$8, 0)</f>
        <v>400</v>
      </c>
      <c r="N8" s="6" t="n">
        <f aca="false">IF(AND(11&gt;=Contracts!$H$8, 11&lt;12), Contracts!$F$8, 0)</f>
        <v>400</v>
      </c>
      <c r="O8" s="9" t="n">
        <f aca="false">SUM(C8:N8)</f>
        <v>3200</v>
      </c>
    </row>
    <row r="9" customFormat="false" ht="15" hidden="false" customHeight="false" outlineLevel="0" collapsed="false">
      <c r="A9" s="8" t="s">
        <v>25</v>
      </c>
      <c r="B9" s="8" t="s">
        <v>27</v>
      </c>
      <c r="C9" s="6" t="n">
        <f aca="false">IF(AND(0&gt;=Contracts!$H$9, 0&lt;9), Contracts!$F$9, 0)</f>
        <v>0</v>
      </c>
      <c r="D9" s="6" t="n">
        <f aca="false">IF(AND(1&gt;=Contracts!$H$9, 1&lt;9), Contracts!$F$9, 0)</f>
        <v>0</v>
      </c>
      <c r="E9" s="6" t="n">
        <f aca="false">IF(AND(2&gt;=Contracts!$H$9, 2&lt;9), Contracts!$F$9, 0)</f>
        <v>0</v>
      </c>
      <c r="F9" s="6" t="n">
        <f aca="false">IF(AND(3&gt;=Contracts!$H$9, 3&lt;9), Contracts!$F$9, 0)</f>
        <v>0</v>
      </c>
      <c r="G9" s="6" t="n">
        <f aca="false">IF(AND(4&gt;=Contracts!$H$9, 4&lt;9), Contracts!$F$9, 0)</f>
        <v>0</v>
      </c>
      <c r="H9" s="6" t="n">
        <f aca="false">IF(AND(5&gt;=Contracts!$H$9, 5&lt;9), Contracts!$F$9, 0)</f>
        <v>100</v>
      </c>
      <c r="I9" s="6" t="n">
        <f aca="false">IF(AND(6&gt;=Contracts!$H$9, 6&lt;9), Contracts!$F$9, 0)</f>
        <v>100</v>
      </c>
      <c r="J9" s="6" t="n">
        <f aca="false">IF(AND(7&gt;=Contracts!$H$9, 7&lt;9), Contracts!$F$9, 0)</f>
        <v>100</v>
      </c>
      <c r="K9" s="6" t="n">
        <f aca="false">IF(AND(8&gt;=Contracts!$H$9, 8&lt;9), Contracts!$F$9, 0)</f>
        <v>100</v>
      </c>
      <c r="L9" s="6" t="n">
        <f aca="false">IF(AND(9&gt;=Contracts!$H$9, 9&lt;9), Contracts!$F$9, 0)</f>
        <v>0</v>
      </c>
      <c r="M9" s="6" t="n">
        <f aca="false">IF(AND(10&gt;=Contracts!$H$9, 10&lt;9), Contracts!$F$9, 0)</f>
        <v>0</v>
      </c>
      <c r="N9" s="6" t="n">
        <f aca="false">IF(AND(11&gt;=Contracts!$H$9, 11&lt;9), Contracts!$F$9, 0)</f>
        <v>0</v>
      </c>
      <c r="O9" s="9" t="n">
        <f aca="false">SUM(C9:N9)</f>
        <v>400</v>
      </c>
    </row>
    <row r="10" customFormat="false" ht="15" hidden="false" customHeight="false" outlineLevel="0" collapsed="false">
      <c r="A10" s="8" t="s">
        <v>31</v>
      </c>
      <c r="B10" s="8" t="s">
        <v>27</v>
      </c>
      <c r="C10" s="6" t="n">
        <f aca="false">IF(AND(0&gt;=Contracts!$H$10, 0&lt;12), Contracts!$F$10, 0)</f>
        <v>0</v>
      </c>
      <c r="D10" s="6" t="n">
        <f aca="false">IF(AND(1&gt;=Contracts!$H$10, 1&lt;12), Contracts!$F$10, 0)</f>
        <v>0</v>
      </c>
      <c r="E10" s="6" t="n">
        <f aca="false">IF(AND(2&gt;=Contracts!$H$10, 2&lt;12), Contracts!$F$10, 0)</f>
        <v>0</v>
      </c>
      <c r="F10" s="6" t="n">
        <f aca="false">IF(AND(3&gt;=Contracts!$H$10, 3&lt;12), Contracts!$F$10, 0)</f>
        <v>0</v>
      </c>
      <c r="G10" s="6" t="n">
        <f aca="false">IF(AND(4&gt;=Contracts!$H$10, 4&lt;12), Contracts!$F$10, 0)</f>
        <v>0</v>
      </c>
      <c r="H10" s="6" t="n">
        <f aca="false">IF(AND(5&gt;=Contracts!$H$10, 5&lt;12), Contracts!$F$10, 0)</f>
        <v>0</v>
      </c>
      <c r="I10" s="6" t="n">
        <f aca="false">IF(AND(6&gt;=Contracts!$H$10, 6&lt;12), Contracts!$F$10, 0)</f>
        <v>1500</v>
      </c>
      <c r="J10" s="6" t="n">
        <f aca="false">IF(AND(7&gt;=Contracts!$H$10, 7&lt;12), Contracts!$F$10, 0)</f>
        <v>1500</v>
      </c>
      <c r="K10" s="6" t="n">
        <f aca="false">IF(AND(8&gt;=Contracts!$H$10, 8&lt;12), Contracts!$F$10, 0)</f>
        <v>1500</v>
      </c>
      <c r="L10" s="6" t="n">
        <f aca="false">IF(AND(9&gt;=Contracts!$H$10, 9&lt;12), Contracts!$F$10, 0)</f>
        <v>1500</v>
      </c>
      <c r="M10" s="6" t="n">
        <f aca="false">IF(AND(10&gt;=Contracts!$H$10, 10&lt;12), Contracts!$F$10, 0)</f>
        <v>1500</v>
      </c>
      <c r="N10" s="6" t="n">
        <f aca="false">IF(AND(11&gt;=Contracts!$H$10, 11&lt;12), Contracts!$F$10, 0)</f>
        <v>1500</v>
      </c>
      <c r="O10" s="9" t="n">
        <f aca="false">SUM(C10:N10)</f>
        <v>9000</v>
      </c>
    </row>
    <row r="11" customFormat="false" ht="15" hidden="false" customHeight="false" outlineLevel="0" collapsed="false">
      <c r="A11" s="8" t="s">
        <v>33</v>
      </c>
      <c r="B11" s="8" t="s">
        <v>16</v>
      </c>
      <c r="C11" s="6" t="n">
        <f aca="false">IF(AND(0&gt;=Contracts!$H$11, 0&lt;12), Contracts!$F$11, 0)</f>
        <v>0</v>
      </c>
      <c r="D11" s="6" t="n">
        <f aca="false">IF(AND(1&gt;=Contracts!$H$11, 1&lt;12), Contracts!$F$11, 0)</f>
        <v>0</v>
      </c>
      <c r="E11" s="6" t="n">
        <f aca="false">IF(AND(2&gt;=Contracts!$H$11, 2&lt;12), Contracts!$F$11, 0)</f>
        <v>0</v>
      </c>
      <c r="F11" s="6" t="n">
        <f aca="false">IF(AND(3&gt;=Contracts!$H$11, 3&lt;12), Contracts!$F$11, 0)</f>
        <v>0</v>
      </c>
      <c r="G11" s="6" t="n">
        <f aca="false">IF(AND(4&gt;=Contracts!$H$11, 4&lt;12), Contracts!$F$11, 0)</f>
        <v>0</v>
      </c>
      <c r="H11" s="6" t="n">
        <f aca="false">IF(AND(5&gt;=Contracts!$H$11, 5&lt;12), Contracts!$F$11, 0)</f>
        <v>0</v>
      </c>
      <c r="I11" s="6" t="n">
        <f aca="false">IF(AND(6&gt;=Contracts!$H$11, 6&lt;12), Contracts!$F$11, 0)</f>
        <v>0</v>
      </c>
      <c r="J11" s="6" t="n">
        <f aca="false">IF(AND(7&gt;=Contracts!$H$11, 7&lt;12), Contracts!$F$11, 0)</f>
        <v>400</v>
      </c>
      <c r="K11" s="6" t="n">
        <f aca="false">IF(AND(8&gt;=Contracts!$H$11, 8&lt;12), Contracts!$F$11, 0)</f>
        <v>400</v>
      </c>
      <c r="L11" s="6" t="n">
        <f aca="false">IF(AND(9&gt;=Contracts!$H$11, 9&lt;12), Contracts!$F$11, 0)</f>
        <v>400</v>
      </c>
      <c r="M11" s="6" t="n">
        <f aca="false">IF(AND(10&gt;=Contracts!$H$11, 10&lt;12), Contracts!$F$11, 0)</f>
        <v>400</v>
      </c>
      <c r="N11" s="6" t="n">
        <f aca="false">IF(AND(11&gt;=Contracts!$H$11, 11&lt;12), Contracts!$F$11, 0)</f>
        <v>400</v>
      </c>
      <c r="O11" s="9" t="n">
        <f aca="false">SUM(C11:N11)</f>
        <v>2000</v>
      </c>
    </row>
    <row r="12" customFormat="false" ht="15" hidden="false" customHeight="false" outlineLevel="0" collapsed="false">
      <c r="A12" s="8" t="s">
        <v>35</v>
      </c>
      <c r="B12" s="8" t="s">
        <v>16</v>
      </c>
      <c r="C12" s="6" t="n">
        <f aca="false">IF(AND(0&gt;=Contracts!$H$12, 0&lt;12), Contracts!$F$12, 0)</f>
        <v>0</v>
      </c>
      <c r="D12" s="6" t="n">
        <f aca="false">IF(AND(1&gt;=Contracts!$H$12, 1&lt;12), Contracts!$F$12, 0)</f>
        <v>0</v>
      </c>
      <c r="E12" s="6" t="n">
        <f aca="false">IF(AND(2&gt;=Contracts!$H$12, 2&lt;12), Contracts!$F$12, 0)</f>
        <v>0</v>
      </c>
      <c r="F12" s="6" t="n">
        <f aca="false">IF(AND(3&gt;=Contracts!$H$12, 3&lt;12), Contracts!$F$12, 0)</f>
        <v>0</v>
      </c>
      <c r="G12" s="6" t="n">
        <f aca="false">IF(AND(4&gt;=Contracts!$H$12, 4&lt;12), Contracts!$F$12, 0)</f>
        <v>0</v>
      </c>
      <c r="H12" s="6" t="n">
        <f aca="false">IF(AND(5&gt;=Contracts!$H$12, 5&lt;12), Contracts!$F$12, 0)</f>
        <v>0</v>
      </c>
      <c r="I12" s="6" t="n">
        <f aca="false">IF(AND(6&gt;=Contracts!$H$12, 6&lt;12), Contracts!$F$12, 0)</f>
        <v>0</v>
      </c>
      <c r="J12" s="6" t="n">
        <f aca="false">IF(AND(7&gt;=Contracts!$H$12, 7&lt;12), Contracts!$F$12, 0)</f>
        <v>0</v>
      </c>
      <c r="K12" s="6" t="n">
        <f aca="false">IF(AND(8&gt;=Contracts!$H$12, 8&lt;12), Contracts!$F$12, 0)</f>
        <v>100</v>
      </c>
      <c r="L12" s="6" t="n">
        <f aca="false">IF(AND(9&gt;=Contracts!$H$12, 9&lt;12), Contracts!$F$12, 0)</f>
        <v>100</v>
      </c>
      <c r="M12" s="6" t="n">
        <f aca="false">IF(AND(10&gt;=Contracts!$H$12, 10&lt;12), Contracts!$F$12, 0)</f>
        <v>100</v>
      </c>
      <c r="N12" s="6" t="n">
        <f aca="false">IF(AND(11&gt;=Contracts!$H$12, 11&lt;12), Contracts!$F$12, 0)</f>
        <v>100</v>
      </c>
      <c r="O12" s="9" t="n">
        <f aca="false">SUM(C12:N12)</f>
        <v>400</v>
      </c>
    </row>
    <row r="13" customFormat="false" ht="15" hidden="false" customHeight="false" outlineLevel="0" collapsed="false">
      <c r="A13" s="8" t="s">
        <v>37</v>
      </c>
      <c r="B13" s="8" t="s">
        <v>16</v>
      </c>
      <c r="C13" s="6" t="n">
        <f aca="false">IF(AND(0&gt;=Contracts!$H$13, 0&lt;7), Contracts!$F$13, 0) + IF(0=7, (Contracts!$E$13 - 6*Contracts!$F$13), 0)</f>
        <v>0</v>
      </c>
      <c r="D13" s="6" t="n">
        <f aca="false">IF(AND(1&gt;=Contracts!$H$13, 1&lt;7), Contracts!$F$13, 0) + IF(1=7, (Contracts!$E$13 - 6*Contracts!$F$13), 0)</f>
        <v>400</v>
      </c>
      <c r="E13" s="6" t="n">
        <f aca="false">IF(AND(2&gt;=Contracts!$H$13, 2&lt;7), Contracts!$F$13, 0) + IF(2=7, (Contracts!$E$13 - 6*Contracts!$F$13), 0)</f>
        <v>400</v>
      </c>
      <c r="F13" s="6" t="n">
        <f aca="false">IF(AND(3&gt;=Contracts!$H$13, 3&lt;7), Contracts!$F$13, 0) + IF(3=7, (Contracts!$E$13 - 6*Contracts!$F$13), 0)</f>
        <v>400</v>
      </c>
      <c r="G13" s="6" t="n">
        <f aca="false">IF(AND(4&gt;=Contracts!$H$13, 4&lt;7), Contracts!$F$13, 0) + IF(4=7, (Contracts!$E$13 - 6*Contracts!$F$13), 0)</f>
        <v>400</v>
      </c>
      <c r="H13" s="6" t="n">
        <f aca="false">IF(AND(5&gt;=Contracts!$H$13, 5&lt;7), Contracts!$F$13, 0) + IF(5=7, (Contracts!$E$13 - 6*Contracts!$F$13), 0)</f>
        <v>400</v>
      </c>
      <c r="I13" s="6" t="n">
        <f aca="false">IF(AND(6&gt;=Contracts!$H$13, 6&lt;7), Contracts!$F$13, 0) + IF(6=7, (Contracts!$E$13 - 6*Contracts!$F$13), 0)</f>
        <v>400</v>
      </c>
      <c r="J13" s="6" t="n">
        <f aca="false">IF(AND(7&gt;=Contracts!$H$13, 7&lt;7), Contracts!$F$13, 0) + IF(7=7, (Contracts!$E$13 - 6*Contracts!$F$13), 0)</f>
        <v>2400</v>
      </c>
      <c r="K13" s="6" t="n">
        <f aca="false">IF(AND(8&gt;=Contracts!$H$13, 8&lt;7), Contracts!$F$13, 0) + IF(8=7, (Contracts!$E$13 - 6*Contracts!$F$13), 0)</f>
        <v>0</v>
      </c>
      <c r="L13" s="6" t="n">
        <f aca="false">IF(AND(9&gt;=Contracts!$H$13, 9&lt;7), Contracts!$F$13, 0) + IF(9=7, (Contracts!$E$13 - 6*Contracts!$F$13), 0)</f>
        <v>0</v>
      </c>
      <c r="M13" s="6" t="n">
        <f aca="false">IF(AND(10&gt;=Contracts!$H$13, 10&lt;7), Contracts!$F$13, 0) + IF(10=7, (Contracts!$E$13 - 6*Contracts!$F$13), 0)</f>
        <v>0</v>
      </c>
      <c r="N13" s="6" t="n">
        <f aca="false">IF(AND(11&gt;=Contracts!$H$13, 11&lt;7), Contracts!$F$13, 0) + IF(11=7, (Contracts!$E$13 - 6*Contracts!$F$13), 0)</f>
        <v>0</v>
      </c>
      <c r="O13" s="9" t="n">
        <f aca="false">SUM(C13:N13)</f>
        <v>4800</v>
      </c>
    </row>
    <row r="14" customFormat="false" ht="15" hidden="false" customHeight="false" outlineLevel="0" collapsed="false">
      <c r="A14" s="8" t="s">
        <v>40</v>
      </c>
      <c r="B14" s="8" t="s">
        <v>16</v>
      </c>
      <c r="C14" s="6" t="n">
        <f aca="false">IF(AND(0&gt;=Contracts!$H$14, 0&lt;8), Contracts!$F$14, 0)</f>
        <v>0</v>
      </c>
      <c r="D14" s="6" t="n">
        <f aca="false">IF(AND(1&gt;=Contracts!$H$14, 1&lt;8), Contracts!$F$14, 0)</f>
        <v>0</v>
      </c>
      <c r="E14" s="6" t="n">
        <f aca="false">IF(AND(2&gt;=Contracts!$H$14, 2&lt;8), Contracts!$F$14, 0)</f>
        <v>1500</v>
      </c>
      <c r="F14" s="6" t="n">
        <f aca="false">IF(AND(3&gt;=Contracts!$H$14, 3&lt;8), Contracts!$F$14, 0)</f>
        <v>1500</v>
      </c>
      <c r="G14" s="6" t="n">
        <f aca="false">IF(AND(4&gt;=Contracts!$H$14, 4&lt;8), Contracts!$F$14, 0)</f>
        <v>1500</v>
      </c>
      <c r="H14" s="6" t="n">
        <f aca="false">IF(AND(5&gt;=Contracts!$H$14, 5&lt;8), Contracts!$F$14, 0)</f>
        <v>1500</v>
      </c>
      <c r="I14" s="6" t="n">
        <f aca="false">IF(AND(6&gt;=Contracts!$H$14, 6&lt;8), Contracts!$F$14, 0)</f>
        <v>1500</v>
      </c>
      <c r="J14" s="6" t="n">
        <f aca="false">IF(AND(7&gt;=Contracts!$H$14, 7&lt;8), Contracts!$F$14, 0)</f>
        <v>1500</v>
      </c>
      <c r="K14" s="6" t="n">
        <f aca="false">IF(AND(8&gt;=Contracts!$H$14, 8&lt;8), Contracts!$F$14, 0)</f>
        <v>0</v>
      </c>
      <c r="L14" s="6" t="n">
        <f aca="false">IF(AND(9&gt;=Contracts!$H$14, 9&lt;8), Contracts!$F$14, 0)</f>
        <v>0</v>
      </c>
      <c r="M14" s="6" t="n">
        <f aca="false">IF(AND(10&gt;=Contracts!$H$14, 10&lt;8), Contracts!$F$14, 0)</f>
        <v>0</v>
      </c>
      <c r="N14" s="6" t="n">
        <f aca="false">IF(AND(11&gt;=Contracts!$H$14, 11&lt;8), Contracts!$F$14, 0)</f>
        <v>0</v>
      </c>
      <c r="O14" s="9" t="n">
        <f aca="false">SUM(C14:N14)</f>
        <v>9000</v>
      </c>
    </row>
    <row r="15" customFormat="false" ht="15" hidden="false" customHeight="false" outlineLevel="0" collapsed="false">
      <c r="A15" s="8" t="s">
        <v>43</v>
      </c>
      <c r="B15" s="8" t="s">
        <v>44</v>
      </c>
      <c r="C15" s="6" t="n">
        <f aca="false">'Usage Rev'!C7</f>
        <v>0</v>
      </c>
      <c r="D15" s="6" t="n">
        <f aca="false">'Usage Rev'!D7</f>
        <v>0</v>
      </c>
      <c r="E15" s="6" t="n">
        <f aca="false">'Usage Rev'!E7</f>
        <v>3200</v>
      </c>
      <c r="F15" s="6" t="n">
        <f aca="false">'Usage Rev'!F7</f>
        <v>3600</v>
      </c>
      <c r="G15" s="6" t="n">
        <f aca="false">'Usage Rev'!G7</f>
        <v>3100</v>
      </c>
      <c r="H15" s="6" t="n">
        <f aca="false">'Usage Rev'!H7</f>
        <v>4200</v>
      </c>
      <c r="I15" s="6" t="n">
        <f aca="false">'Usage Rev'!I7</f>
        <v>4800</v>
      </c>
      <c r="J15" s="6" t="n">
        <f aca="false">'Usage Rev'!J7</f>
        <v>4500</v>
      </c>
      <c r="K15" s="6" t="n">
        <f aca="false">'Usage Rev'!K7</f>
        <v>5300</v>
      </c>
      <c r="L15" s="6" t="n">
        <f aca="false">'Usage Rev'!L7</f>
        <v>5000</v>
      </c>
      <c r="M15" s="6" t="n">
        <f aca="false">'Usage Rev'!M7</f>
        <v>5600</v>
      </c>
      <c r="N15" s="6" t="n">
        <f aca="false">'Usage Rev'!N7</f>
        <v>6100</v>
      </c>
      <c r="O15" s="9" t="n">
        <f aca="false">SUM(C15:N15)</f>
        <v>45400</v>
      </c>
    </row>
    <row r="16" customFormat="false" ht="15" hidden="false" customHeight="false" outlineLevel="0" collapsed="false">
      <c r="A16" s="8" t="s">
        <v>45</v>
      </c>
      <c r="B16" s="8" t="s">
        <v>44</v>
      </c>
      <c r="C16" s="6" t="n">
        <f aca="false">'Usage Rev'!C11</f>
        <v>0</v>
      </c>
      <c r="D16" s="6" t="n">
        <f aca="false">'Usage Rev'!D11</f>
        <v>0</v>
      </c>
      <c r="E16" s="6" t="n">
        <f aca="false">'Usage Rev'!E11</f>
        <v>0</v>
      </c>
      <c r="F16" s="6" t="n">
        <f aca="false">'Usage Rev'!F11</f>
        <v>2300</v>
      </c>
      <c r="G16" s="6" t="n">
        <f aca="false">'Usage Rev'!G11</f>
        <v>2600</v>
      </c>
      <c r="H16" s="6" t="n">
        <f aca="false">'Usage Rev'!H11</f>
        <v>2450</v>
      </c>
      <c r="I16" s="6" t="n">
        <f aca="false">'Usage Rev'!I11</f>
        <v>2900</v>
      </c>
      <c r="J16" s="6" t="n">
        <f aca="false">'Usage Rev'!J11</f>
        <v>3200</v>
      </c>
      <c r="K16" s="6" t="n">
        <f aca="false">'Usage Rev'!K11</f>
        <v>3050</v>
      </c>
      <c r="L16" s="6" t="n">
        <f aca="false">'Usage Rev'!L11</f>
        <v>3400</v>
      </c>
      <c r="M16" s="6" t="n">
        <f aca="false">'Usage Rev'!M11</f>
        <v>3700</v>
      </c>
      <c r="N16" s="6" t="n">
        <f aca="false">'Usage Rev'!N11</f>
        <v>3850</v>
      </c>
      <c r="O16" s="9" t="n">
        <f aca="false">SUM(C16:N16)</f>
        <v>27450</v>
      </c>
    </row>
    <row r="17" customFormat="false" ht="15" hidden="false" customHeight="false" outlineLevel="0" collapsed="false">
      <c r="A17" s="10" t="s">
        <v>52</v>
      </c>
      <c r="B17" s="10"/>
      <c r="C17" s="11" t="n">
        <f aca="false">SUM(C5:C16)</f>
        <v>1900</v>
      </c>
      <c r="D17" s="11" t="n">
        <f aca="false">SUM(D5:D16)</f>
        <v>2300</v>
      </c>
      <c r="E17" s="11" t="n">
        <f aca="false">SUM(E5:E16)</f>
        <v>7000</v>
      </c>
      <c r="F17" s="11" t="n">
        <f aca="false">SUM(F5:F16)</f>
        <v>11200</v>
      </c>
      <c r="G17" s="11" t="n">
        <f aca="false">SUM(G5:G16)</f>
        <v>11400</v>
      </c>
      <c r="H17" s="11" t="n">
        <f aca="false">SUM(H5:H16)</f>
        <v>12650</v>
      </c>
      <c r="I17" s="11" t="n">
        <f aca="false">SUM(I5:I16)</f>
        <v>14900</v>
      </c>
      <c r="J17" s="11" t="n">
        <f aca="false">SUM(J5:J16)</f>
        <v>17300</v>
      </c>
      <c r="K17" s="11" t="n">
        <f aca="false">SUM(K5:K16)</f>
        <v>14150</v>
      </c>
      <c r="L17" s="11" t="n">
        <f aca="false">SUM(L5:L16)</f>
        <v>14100</v>
      </c>
      <c r="M17" s="11" t="n">
        <f aca="false">SUM(M5:M16)</f>
        <v>15000</v>
      </c>
      <c r="N17" s="11" t="n">
        <f aca="false">SUM(N5:N16)</f>
        <v>15650</v>
      </c>
      <c r="O17" s="11" t="n">
        <f aca="false">SUM(C17:N17)</f>
        <v>137550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14" min="3" style="0" width="9"/>
    <col collapsed="false" customWidth="true" hidden="false" outlineLevel="0" max="15" min="15" style="0" width="11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3" t="s">
        <v>3</v>
      </c>
      <c r="B4" s="3" t="s">
        <v>55</v>
      </c>
      <c r="C4" s="3" t="s">
        <v>17</v>
      </c>
      <c r="D4" s="3" t="s">
        <v>38</v>
      </c>
      <c r="E4" s="3" t="s">
        <v>41</v>
      </c>
      <c r="F4" s="3" t="s">
        <v>22</v>
      </c>
      <c r="G4" s="3" t="s">
        <v>24</v>
      </c>
      <c r="H4" s="3" t="s">
        <v>28</v>
      </c>
      <c r="I4" s="3" t="s">
        <v>32</v>
      </c>
      <c r="J4" s="3" t="s">
        <v>34</v>
      </c>
      <c r="K4" s="3" t="s">
        <v>36</v>
      </c>
      <c r="L4" s="3" t="s">
        <v>30</v>
      </c>
      <c r="M4" s="3" t="s">
        <v>49</v>
      </c>
      <c r="N4" s="3" t="s">
        <v>50</v>
      </c>
      <c r="O4" s="3" t="s">
        <v>51</v>
      </c>
    </row>
    <row r="5" customFormat="false" ht="15" hidden="false" customHeight="false" outlineLevel="0" collapsed="false">
      <c r="A5" s="12" t="s">
        <v>43</v>
      </c>
      <c r="B5" s="8" t="s">
        <v>56</v>
      </c>
      <c r="C5" s="5" t="n">
        <v>0</v>
      </c>
      <c r="D5" s="5" t="n">
        <v>0</v>
      </c>
      <c r="E5" s="5" t="n">
        <v>3200</v>
      </c>
      <c r="F5" s="5" t="n">
        <v>3600</v>
      </c>
      <c r="G5" s="5" t="n">
        <v>3100</v>
      </c>
      <c r="H5" s="5" t="n">
        <v>4200</v>
      </c>
      <c r="I5" s="5" t="n">
        <v>4800</v>
      </c>
      <c r="J5" s="5" t="n">
        <v>4500</v>
      </c>
      <c r="K5" s="5" t="n">
        <v>5300</v>
      </c>
      <c r="L5" s="5" t="n">
        <v>5000</v>
      </c>
      <c r="M5" s="5" t="n">
        <v>5600</v>
      </c>
      <c r="N5" s="5" t="n">
        <v>6100</v>
      </c>
      <c r="O5" s="13" t="n">
        <f aca="false">SUM(C5:N5)</f>
        <v>45400</v>
      </c>
    </row>
    <row r="6" customFormat="false" ht="15" hidden="false" customHeight="false" outlineLevel="0" collapsed="false">
      <c r="B6" s="8" t="s">
        <v>57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13" t="n">
        <f aca="false">SUM(C6:N6)</f>
        <v>0</v>
      </c>
    </row>
    <row r="7" customFormat="false" ht="15" hidden="false" customHeight="false" outlineLevel="0" collapsed="false">
      <c r="B7" s="12" t="s">
        <v>58</v>
      </c>
      <c r="C7" s="11" t="n">
        <f aca="false">C5+C6</f>
        <v>0</v>
      </c>
      <c r="D7" s="11" t="n">
        <f aca="false">D5+D6</f>
        <v>0</v>
      </c>
      <c r="E7" s="11" t="n">
        <f aca="false">E5+E6</f>
        <v>3200</v>
      </c>
      <c r="F7" s="11" t="n">
        <f aca="false">F5+F6</f>
        <v>3600</v>
      </c>
      <c r="G7" s="11" t="n">
        <f aca="false">G5+G6</f>
        <v>3100</v>
      </c>
      <c r="H7" s="11" t="n">
        <f aca="false">H5+H6</f>
        <v>4200</v>
      </c>
      <c r="I7" s="11" t="n">
        <f aca="false">I5+I6</f>
        <v>4800</v>
      </c>
      <c r="J7" s="11" t="n">
        <f aca="false">J5+J6</f>
        <v>4500</v>
      </c>
      <c r="K7" s="11" t="n">
        <f aca="false">K5+K6</f>
        <v>5300</v>
      </c>
      <c r="L7" s="11" t="n">
        <f aca="false">L5+L6</f>
        <v>5000</v>
      </c>
      <c r="M7" s="11" t="n">
        <f aca="false">M5+M6</f>
        <v>5600</v>
      </c>
      <c r="N7" s="11" t="n">
        <f aca="false">N5+N6</f>
        <v>6100</v>
      </c>
      <c r="O7" s="14" t="n">
        <f aca="false">SUM(C7:N7)</f>
        <v>45400</v>
      </c>
    </row>
    <row r="9" customFormat="false" ht="15" hidden="false" customHeight="false" outlineLevel="0" collapsed="false">
      <c r="A9" s="12" t="s">
        <v>45</v>
      </c>
      <c r="B9" s="8" t="s">
        <v>56</v>
      </c>
      <c r="C9" s="5" t="n">
        <v>0</v>
      </c>
      <c r="D9" s="5" t="n">
        <v>0</v>
      </c>
      <c r="E9" s="5" t="n">
        <v>0</v>
      </c>
      <c r="F9" s="5" t="n">
        <v>1500</v>
      </c>
      <c r="G9" s="5" t="n">
        <v>1800</v>
      </c>
      <c r="H9" s="5" t="n">
        <v>1650</v>
      </c>
      <c r="I9" s="5" t="n">
        <v>2100</v>
      </c>
      <c r="J9" s="5" t="n">
        <v>2400</v>
      </c>
      <c r="K9" s="5" t="n">
        <v>2250</v>
      </c>
      <c r="L9" s="5" t="n">
        <v>2600</v>
      </c>
      <c r="M9" s="5" t="n">
        <v>2900</v>
      </c>
      <c r="N9" s="5" t="n">
        <v>3050</v>
      </c>
      <c r="O9" s="13" t="n">
        <f aca="false">SUM(C9:N9)</f>
        <v>20250</v>
      </c>
    </row>
    <row r="10" customFormat="false" ht="15" hidden="false" customHeight="false" outlineLevel="0" collapsed="false">
      <c r="B10" s="8" t="s">
        <v>57</v>
      </c>
      <c r="C10" s="6" t="n">
        <v>0</v>
      </c>
      <c r="D10" s="6" t="n">
        <v>0</v>
      </c>
      <c r="E10" s="6" t="n">
        <v>0</v>
      </c>
      <c r="F10" s="5" t="n">
        <v>800</v>
      </c>
      <c r="G10" s="5" t="n">
        <v>800</v>
      </c>
      <c r="H10" s="5" t="n">
        <v>800</v>
      </c>
      <c r="I10" s="5" t="n">
        <v>800</v>
      </c>
      <c r="J10" s="5" t="n">
        <v>800</v>
      </c>
      <c r="K10" s="5" t="n">
        <v>800</v>
      </c>
      <c r="L10" s="5" t="n">
        <v>800</v>
      </c>
      <c r="M10" s="5" t="n">
        <v>800</v>
      </c>
      <c r="N10" s="5" t="n">
        <v>800</v>
      </c>
      <c r="O10" s="13" t="n">
        <f aca="false">SUM(C10:N10)</f>
        <v>7200</v>
      </c>
    </row>
    <row r="11" customFormat="false" ht="15" hidden="false" customHeight="false" outlineLevel="0" collapsed="false">
      <c r="B11" s="12" t="s">
        <v>58</v>
      </c>
      <c r="C11" s="11" t="n">
        <f aca="false">C9+C10</f>
        <v>0</v>
      </c>
      <c r="D11" s="11" t="n">
        <f aca="false">D9+D10</f>
        <v>0</v>
      </c>
      <c r="E11" s="11" t="n">
        <f aca="false">E9+E10</f>
        <v>0</v>
      </c>
      <c r="F11" s="11" t="n">
        <f aca="false">F9+F10</f>
        <v>2300</v>
      </c>
      <c r="G11" s="11" t="n">
        <f aca="false">G9+G10</f>
        <v>2600</v>
      </c>
      <c r="H11" s="11" t="n">
        <f aca="false">H9+H10</f>
        <v>2450</v>
      </c>
      <c r="I11" s="11" t="n">
        <f aca="false">I9+I10</f>
        <v>2900</v>
      </c>
      <c r="J11" s="11" t="n">
        <f aca="false">J9+J10</f>
        <v>3200</v>
      </c>
      <c r="K11" s="11" t="n">
        <f aca="false">K9+K10</f>
        <v>3050</v>
      </c>
      <c r="L11" s="11" t="n">
        <f aca="false">L9+L10</f>
        <v>3400</v>
      </c>
      <c r="M11" s="11" t="n">
        <f aca="false">M9+M10</f>
        <v>3700</v>
      </c>
      <c r="N11" s="11" t="n">
        <f aca="false">N9+N10</f>
        <v>3850</v>
      </c>
      <c r="O11" s="14" t="n">
        <f aca="false">SUM(C11:N11)</f>
        <v>27450</v>
      </c>
    </row>
    <row r="13" customFormat="false" ht="15" hidden="false" customHeight="false" outlineLevel="0" collapsed="false">
      <c r="A13" s="15" t="s">
        <v>59</v>
      </c>
    </row>
    <row r="14" customFormat="false" ht="15" hidden="false" customHeight="false" outlineLevel="0" collapsed="false">
      <c r="A14" s="12" t="s">
        <v>60</v>
      </c>
      <c r="B14" s="2" t="s">
        <v>61</v>
      </c>
      <c r="C14" s="16" t="n">
        <f aca="false">C5+C9</f>
        <v>0</v>
      </c>
      <c r="D14" s="16" t="n">
        <f aca="false">D5+D9</f>
        <v>0</v>
      </c>
      <c r="E14" s="16" t="n">
        <f aca="false">E5+E9</f>
        <v>3200</v>
      </c>
      <c r="F14" s="16" t="n">
        <f aca="false">F5+F9</f>
        <v>5100</v>
      </c>
      <c r="G14" s="16" t="n">
        <f aca="false">G5+G9</f>
        <v>4900</v>
      </c>
      <c r="H14" s="16" t="n">
        <f aca="false">H5+H9</f>
        <v>5850</v>
      </c>
      <c r="I14" s="16" t="n">
        <f aca="false">I5+I9</f>
        <v>6900</v>
      </c>
      <c r="J14" s="16" t="n">
        <f aca="false">J5+J9</f>
        <v>6900</v>
      </c>
      <c r="K14" s="16" t="n">
        <f aca="false">K5+K9</f>
        <v>7550</v>
      </c>
      <c r="L14" s="16" t="n">
        <f aca="false">L5+L9</f>
        <v>7600</v>
      </c>
      <c r="M14" s="16" t="n">
        <f aca="false">M5+M9</f>
        <v>8500</v>
      </c>
      <c r="N14" s="16" t="n">
        <f aca="false">N5+N9</f>
        <v>9150</v>
      </c>
      <c r="O14" s="13" t="n">
        <f aca="false">SUM(C14:N14)</f>
        <v>65650</v>
      </c>
    </row>
    <row r="15" customFormat="false" ht="15" hidden="false" customHeight="false" outlineLevel="0" collapsed="false">
      <c r="A15" s="12" t="s">
        <v>62</v>
      </c>
      <c r="B15" s="2" t="s">
        <v>63</v>
      </c>
      <c r="C15" s="16" t="n">
        <f aca="false">C6+C10</f>
        <v>0</v>
      </c>
      <c r="D15" s="16" t="n">
        <f aca="false">D6+D10</f>
        <v>0</v>
      </c>
      <c r="E15" s="16" t="n">
        <f aca="false">E6+E10</f>
        <v>0</v>
      </c>
      <c r="F15" s="16" t="n">
        <f aca="false">F6+F10</f>
        <v>800</v>
      </c>
      <c r="G15" s="16" t="n">
        <f aca="false">G6+G10</f>
        <v>800</v>
      </c>
      <c r="H15" s="16" t="n">
        <f aca="false">H6+H10</f>
        <v>800</v>
      </c>
      <c r="I15" s="16" t="n">
        <f aca="false">I6+I10</f>
        <v>800</v>
      </c>
      <c r="J15" s="16" t="n">
        <f aca="false">J6+J10</f>
        <v>800</v>
      </c>
      <c r="K15" s="16" t="n">
        <f aca="false">K6+K10</f>
        <v>800</v>
      </c>
      <c r="L15" s="16" t="n">
        <f aca="false">L6+L10</f>
        <v>800</v>
      </c>
      <c r="M15" s="16" t="n">
        <f aca="false">M6+M10</f>
        <v>800</v>
      </c>
      <c r="N15" s="16" t="n">
        <f aca="false">N6+N10</f>
        <v>800</v>
      </c>
      <c r="O15" s="13" t="n">
        <f aca="false">SUM(C15:N15)</f>
        <v>7200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</row>
    <row r="5" customFormat="false" ht="15" hidden="false" customHeight="false" outlineLevel="0" collapsed="false">
      <c r="A5" s="4" t="s">
        <v>17</v>
      </c>
      <c r="B5" s="6" t="n">
        <f aca="false">Contracts!$E$5 + Contracts!$E$6</f>
        <v>22800</v>
      </c>
      <c r="C5" s="6" t="n">
        <f aca="false">'Recognized Rev'!C17</f>
        <v>1900</v>
      </c>
      <c r="D5" s="6" t="n">
        <v>0</v>
      </c>
      <c r="E5" s="9" t="n">
        <f aca="false">MAX(0, B5-C5-D5)</f>
        <v>20900</v>
      </c>
    </row>
    <row r="6" customFormat="false" ht="15" hidden="false" customHeight="false" outlineLevel="0" collapsed="false">
      <c r="A6" s="4" t="s">
        <v>38</v>
      </c>
      <c r="B6" s="6" t="n">
        <f aca="false">Contracts!$E$13</f>
        <v>4800</v>
      </c>
      <c r="C6" s="6" t="n">
        <f aca="false">'Recognized Rev'!D17</f>
        <v>2300</v>
      </c>
      <c r="D6" s="6" t="n">
        <v>0</v>
      </c>
      <c r="E6" s="9" t="n">
        <f aca="false">MAX(0, E5+B6-C6-D6)</f>
        <v>23400</v>
      </c>
    </row>
    <row r="7" customFormat="false" ht="15" hidden="false" customHeight="false" outlineLevel="0" collapsed="false">
      <c r="A7" s="4" t="s">
        <v>41</v>
      </c>
      <c r="B7" s="6" t="n">
        <f aca="false">Contracts!$E$14 + 'Usage Rev'!E7</f>
        <v>21200</v>
      </c>
      <c r="C7" s="6" t="n">
        <f aca="false">'Recognized Rev'!E17</f>
        <v>7000</v>
      </c>
      <c r="D7" s="6" t="n">
        <v>0</v>
      </c>
      <c r="E7" s="9" t="n">
        <f aca="false">MAX(0, E6+B7-C7-D7)</f>
        <v>37600</v>
      </c>
    </row>
    <row r="8" customFormat="false" ht="15" hidden="false" customHeight="false" outlineLevel="0" collapsed="false">
      <c r="A8" s="4" t="s">
        <v>22</v>
      </c>
      <c r="B8" s="6" t="n">
        <f aca="false">Contracts!$E$7 + 'Usage Rev'!F7 + 'Usage Rev'!F11</f>
        <v>23900</v>
      </c>
      <c r="C8" s="6" t="n">
        <f aca="false">'Recognized Rev'!F17</f>
        <v>11200</v>
      </c>
      <c r="D8" s="6" t="n">
        <v>0</v>
      </c>
      <c r="E8" s="9" t="n">
        <f aca="false">MAX(0, E7+B8-C8-D8)</f>
        <v>50300</v>
      </c>
    </row>
    <row r="9" customFormat="false" ht="15" hidden="false" customHeight="false" outlineLevel="0" collapsed="false">
      <c r="A9" s="4" t="s">
        <v>24</v>
      </c>
      <c r="B9" s="6" t="n">
        <f aca="false">Contracts!$E$8 + 'Usage Rev'!G7 + 'Usage Rev'!G11</f>
        <v>10500</v>
      </c>
      <c r="C9" s="6" t="n">
        <f aca="false">'Recognized Rev'!G17</f>
        <v>11400</v>
      </c>
      <c r="D9" s="6" t="n">
        <v>0</v>
      </c>
      <c r="E9" s="9" t="n">
        <f aca="false">MAX(0, E8+B9-C9-D9)</f>
        <v>49400</v>
      </c>
    </row>
    <row r="10" customFormat="false" ht="15" hidden="false" customHeight="false" outlineLevel="0" collapsed="false">
      <c r="A10" s="4" t="s">
        <v>28</v>
      </c>
      <c r="B10" s="6" t="n">
        <f aca="false">200 + Contracts!$F$9 + 'Usage Rev'!H7 + 'Usage Rev'!H11</f>
        <v>6950</v>
      </c>
      <c r="C10" s="6" t="n">
        <f aca="false">'Recognized Rev'!H17</f>
        <v>12650</v>
      </c>
      <c r="D10" s="6" t="n">
        <v>0</v>
      </c>
      <c r="E10" s="9" t="n">
        <f aca="false">MAX(0, E9+B10-C10-D10)</f>
        <v>43700</v>
      </c>
    </row>
    <row r="11" customFormat="false" ht="15" hidden="false" customHeight="false" outlineLevel="0" collapsed="false">
      <c r="A11" s="4" t="s">
        <v>32</v>
      </c>
      <c r="B11" s="6" t="n">
        <f aca="false">200 + Contracts!$F$9 + Contracts!$F$10 + 'Usage Rev'!I7 + 'Usage Rev'!I11</f>
        <v>9500</v>
      </c>
      <c r="C11" s="6" t="n">
        <f aca="false">'Recognized Rev'!I17</f>
        <v>14900</v>
      </c>
      <c r="D11" s="6" t="n">
        <f aca="false">1800</f>
        <v>1800</v>
      </c>
      <c r="E11" s="9" t="n">
        <f aca="false">MAX(0, E10+B11-C11-D11)</f>
        <v>36500</v>
      </c>
    </row>
    <row r="12" customFormat="false" ht="15" hidden="false" customHeight="false" outlineLevel="0" collapsed="false">
      <c r="A12" s="4" t="s">
        <v>34</v>
      </c>
      <c r="B12" s="6" t="n">
        <f aca="false">200 + Contracts!$F$9 + Contracts!$F$10 + Contracts!$E$11 + 'Usage Rev'!J7 + 'Usage Rev'!J11</f>
        <v>14300</v>
      </c>
      <c r="C12" s="6" t="n">
        <f aca="false">'Recognized Rev'!J17</f>
        <v>17300</v>
      </c>
      <c r="D12" s="6" t="n">
        <v>0</v>
      </c>
      <c r="E12" s="9" t="n">
        <f aca="false">MAX(0, E11+B12-C12-D12)</f>
        <v>33500</v>
      </c>
    </row>
    <row r="13" customFormat="false" ht="15" hidden="false" customHeight="false" outlineLevel="0" collapsed="false">
      <c r="A13" s="4" t="s">
        <v>36</v>
      </c>
      <c r="B13" s="6" t="n">
        <f aca="false">200 + Contracts!$F$9 + Contracts!$F$10 + Contracts!$E$12 + 'Usage Rev'!K7 + 'Usage Rev'!K11</f>
        <v>11350</v>
      </c>
      <c r="C13" s="6" t="n">
        <f aca="false">'Recognized Rev'!K17</f>
        <v>14150</v>
      </c>
      <c r="D13" s="6" t="n">
        <f aca="false">(Contracts!$E$14 - 6*Contracts!$F$14)</f>
        <v>9000</v>
      </c>
      <c r="E13" s="9" t="n">
        <f aca="false">MAX(0, E12+B13-C13-D13)</f>
        <v>21700</v>
      </c>
    </row>
    <row r="14" customFormat="false" ht="15" hidden="false" customHeight="false" outlineLevel="0" collapsed="false">
      <c r="A14" s="4" t="s">
        <v>30</v>
      </c>
      <c r="B14" s="6" t="n">
        <f aca="false">200 + Contracts!$F$10 + 'Usage Rev'!L7 + 'Usage Rev'!L11</f>
        <v>10100</v>
      </c>
      <c r="C14" s="6" t="n">
        <f aca="false">'Recognized Rev'!L17</f>
        <v>14100</v>
      </c>
      <c r="D14" s="6" t="n">
        <v>0</v>
      </c>
      <c r="E14" s="9" t="n">
        <f aca="false">MAX(0, E13+B14-C14-D14)</f>
        <v>17700</v>
      </c>
    </row>
    <row r="15" customFormat="false" ht="15" hidden="false" customHeight="false" outlineLevel="0" collapsed="false">
      <c r="A15" s="4" t="s">
        <v>49</v>
      </c>
      <c r="B15" s="6" t="n">
        <f aca="false">200 + Contracts!$F$10 + 'Usage Rev'!M7 + 'Usage Rev'!M11</f>
        <v>11000</v>
      </c>
      <c r="C15" s="6" t="n">
        <f aca="false">'Recognized Rev'!M17</f>
        <v>15000</v>
      </c>
      <c r="D15" s="6" t="n">
        <v>0</v>
      </c>
      <c r="E15" s="9" t="n">
        <f aca="false">MAX(0, E14+B15-C15-D15)</f>
        <v>13700</v>
      </c>
    </row>
    <row r="16" customFormat="false" ht="15" hidden="false" customHeight="false" outlineLevel="0" collapsed="false">
      <c r="A16" s="4" t="s">
        <v>50</v>
      </c>
      <c r="B16" s="6" t="n">
        <f aca="false">200 + Contracts!$F$10 + 'Usage Rev'!N7 + 'Usage Rev'!N11</f>
        <v>11650</v>
      </c>
      <c r="C16" s="6" t="n">
        <f aca="false">'Recognized Rev'!N17</f>
        <v>15650</v>
      </c>
      <c r="D16" s="6" t="n">
        <v>0</v>
      </c>
      <c r="E16" s="9" t="n">
        <f aca="false">MAX(0, E15+B16-C16-D16)</f>
        <v>9700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0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3" t="s">
        <v>73</v>
      </c>
      <c r="B4" s="3" t="s">
        <v>17</v>
      </c>
      <c r="C4" s="3" t="s">
        <v>38</v>
      </c>
      <c r="D4" s="3" t="s">
        <v>41</v>
      </c>
      <c r="E4" s="3" t="s">
        <v>22</v>
      </c>
      <c r="F4" s="3" t="s">
        <v>24</v>
      </c>
      <c r="G4" s="3" t="s">
        <v>28</v>
      </c>
      <c r="H4" s="3" t="s">
        <v>32</v>
      </c>
      <c r="I4" s="3" t="s">
        <v>34</v>
      </c>
      <c r="J4" s="3" t="s">
        <v>36</v>
      </c>
      <c r="K4" s="3" t="s">
        <v>30</v>
      </c>
      <c r="L4" s="3" t="s">
        <v>49</v>
      </c>
      <c r="M4" s="3" t="s">
        <v>50</v>
      </c>
    </row>
    <row r="5" customFormat="false" ht="15" hidden="false" customHeight="false" outlineLevel="0" collapsed="false">
      <c r="A5" s="10" t="s">
        <v>74</v>
      </c>
      <c r="B5" s="6" t="n">
        <f aca="false">'Recognized Rev'!C17</f>
        <v>1900</v>
      </c>
      <c r="C5" s="6" t="n">
        <f aca="false">'Recognized Rev'!D17</f>
        <v>2300</v>
      </c>
      <c r="D5" s="6" t="n">
        <f aca="false">'Recognized Rev'!E17</f>
        <v>7000</v>
      </c>
      <c r="E5" s="6" t="n">
        <f aca="false">'Recognized Rev'!F17</f>
        <v>11200</v>
      </c>
      <c r="F5" s="6" t="n">
        <f aca="false">'Recognized Rev'!G17</f>
        <v>11400</v>
      </c>
      <c r="G5" s="6" t="n">
        <f aca="false">'Recognized Rev'!H17</f>
        <v>12650</v>
      </c>
      <c r="H5" s="6" t="n">
        <f aca="false">'Recognized Rev'!I17</f>
        <v>14900</v>
      </c>
      <c r="I5" s="6" t="n">
        <f aca="false">'Recognized Rev'!J17</f>
        <v>17300</v>
      </c>
      <c r="J5" s="6" t="n">
        <f aca="false">'Recognized Rev'!K17</f>
        <v>14150</v>
      </c>
      <c r="K5" s="6" t="n">
        <f aca="false">'Recognized Rev'!L17</f>
        <v>14100</v>
      </c>
      <c r="L5" s="6" t="n">
        <f aca="false">'Recognized Rev'!M17</f>
        <v>15000</v>
      </c>
      <c r="M5" s="6" t="n">
        <f aca="false">'Recognized Rev'!N17</f>
        <v>15650</v>
      </c>
    </row>
    <row r="6" customFormat="false" ht="15" hidden="false" customHeight="false" outlineLevel="0" collapsed="false">
      <c r="A6" s="10" t="s">
        <v>75</v>
      </c>
      <c r="B6" s="6" t="n">
        <f aca="false">'Usage Rev'!C14</f>
        <v>0</v>
      </c>
      <c r="C6" s="6" t="n">
        <f aca="false">'Usage Rev'!D14</f>
        <v>0</v>
      </c>
      <c r="D6" s="6" t="n">
        <f aca="false">'Usage Rev'!E14</f>
        <v>3200</v>
      </c>
      <c r="E6" s="6" t="n">
        <f aca="false">'Usage Rev'!F14</f>
        <v>5100</v>
      </c>
      <c r="F6" s="6" t="n">
        <f aca="false">'Usage Rev'!G14</f>
        <v>4900</v>
      </c>
      <c r="G6" s="6" t="n">
        <f aca="false">'Usage Rev'!H14</f>
        <v>5850</v>
      </c>
      <c r="H6" s="6" t="n">
        <f aca="false">'Usage Rev'!I14</f>
        <v>6900</v>
      </c>
      <c r="I6" s="6" t="n">
        <f aca="false">'Usage Rev'!J14</f>
        <v>6900</v>
      </c>
      <c r="J6" s="6" t="n">
        <f aca="false">'Usage Rev'!K14</f>
        <v>7550</v>
      </c>
      <c r="K6" s="6" t="n">
        <f aca="false">'Usage Rev'!L14</f>
        <v>7600</v>
      </c>
      <c r="L6" s="6" t="n">
        <f aca="false">'Usage Rev'!M14</f>
        <v>8500</v>
      </c>
      <c r="M6" s="6" t="n">
        <f aca="false">'Usage Rev'!N14</f>
        <v>9150</v>
      </c>
    </row>
    <row r="7" customFormat="false" ht="15" hidden="false" customHeight="false" outlineLevel="0" collapsed="false">
      <c r="A7" s="10" t="s">
        <v>76</v>
      </c>
      <c r="B7" s="6" t="n">
        <f aca="false">0</f>
        <v>0</v>
      </c>
      <c r="C7" s="6" t="n">
        <f aca="false">0</f>
        <v>0</v>
      </c>
      <c r="D7" s="6" t="n">
        <f aca="false">0</f>
        <v>0</v>
      </c>
      <c r="E7" s="6" t="n">
        <f aca="false">0</f>
        <v>0</v>
      </c>
      <c r="F7" s="6" t="n">
        <f aca="false">0</f>
        <v>0</v>
      </c>
      <c r="G7" s="6" t="n">
        <f aca="false">0</f>
        <v>0</v>
      </c>
      <c r="H7" s="6" t="n">
        <f aca="false">0</f>
        <v>0</v>
      </c>
      <c r="I7" s="6" t="n">
        <f aca="false">(Contracts!$E$13 - 6*Contracts!$F$13)</f>
        <v>2400</v>
      </c>
      <c r="J7" s="6" t="n">
        <f aca="false">0</f>
        <v>0</v>
      </c>
      <c r="K7" s="6" t="n">
        <f aca="false">0</f>
        <v>0</v>
      </c>
      <c r="L7" s="6" t="n">
        <f aca="false">0</f>
        <v>0</v>
      </c>
      <c r="M7" s="6" t="n">
        <f aca="false">0</f>
        <v>0</v>
      </c>
    </row>
    <row r="8" customFormat="false" ht="15" hidden="false" customHeight="false" outlineLevel="0" collapsed="false">
      <c r="A8" s="10" t="s">
        <v>77</v>
      </c>
      <c r="B8" s="6" t="n">
        <f aca="false">0</f>
        <v>0</v>
      </c>
      <c r="C8" s="6" t="n">
        <f aca="false">0</f>
        <v>0</v>
      </c>
      <c r="D8" s="6" t="n">
        <f aca="false">0</f>
        <v>0</v>
      </c>
      <c r="E8" s="6" t="n">
        <f aca="false">0</f>
        <v>0</v>
      </c>
      <c r="F8" s="6" t="n">
        <f aca="false">0</f>
        <v>0</v>
      </c>
      <c r="G8" s="6" t="n">
        <f aca="false">200</f>
        <v>200</v>
      </c>
      <c r="H8" s="6" t="n">
        <f aca="false">200 + -300</f>
        <v>-100</v>
      </c>
      <c r="I8" s="6" t="n">
        <f aca="false">200 + -300</f>
        <v>-100</v>
      </c>
      <c r="J8" s="6" t="n">
        <f aca="false">200 + -300</f>
        <v>-100</v>
      </c>
      <c r="K8" s="6" t="n">
        <f aca="false">200 + -300</f>
        <v>-100</v>
      </c>
      <c r="L8" s="6" t="n">
        <f aca="false">200 + -300</f>
        <v>-100</v>
      </c>
      <c r="M8" s="6" t="n">
        <f aca="false">200 + -300</f>
        <v>-100</v>
      </c>
    </row>
    <row r="9" customFormat="false" ht="15" hidden="false" customHeight="false" outlineLevel="0" collapsed="false">
      <c r="A9" s="10" t="s">
        <v>78</v>
      </c>
      <c r="B9" s="6" t="n">
        <f aca="false">B5 - B6 - B7</f>
        <v>1900</v>
      </c>
      <c r="C9" s="6" t="n">
        <f aca="false">C5 - C6 - C7</f>
        <v>2300</v>
      </c>
      <c r="D9" s="6" t="n">
        <f aca="false">D5 - D6 - D7</f>
        <v>3800</v>
      </c>
      <c r="E9" s="6" t="n">
        <f aca="false">E5 - E6 - E7</f>
        <v>6100</v>
      </c>
      <c r="F9" s="6" t="n">
        <f aca="false">F5 - F6 - F7</f>
        <v>6500</v>
      </c>
      <c r="G9" s="6" t="n">
        <f aca="false">G5 - G6 - G7</f>
        <v>6800</v>
      </c>
      <c r="H9" s="6" t="n">
        <f aca="false">H5 - H6 - H7</f>
        <v>8000</v>
      </c>
      <c r="I9" s="6" t="n">
        <f aca="false">I5 - I6 - I7</f>
        <v>8000</v>
      </c>
      <c r="J9" s="6" t="n">
        <f aca="false">J5 - J6 - J7</f>
        <v>6600</v>
      </c>
      <c r="K9" s="6" t="n">
        <f aca="false">K5 - K6 - K7</f>
        <v>6500</v>
      </c>
      <c r="L9" s="6" t="n">
        <f aca="false">L5 - L6 - L7</f>
        <v>6500</v>
      </c>
      <c r="M9" s="6" t="n">
        <f aca="false">M5 - M6 - M7</f>
        <v>6500</v>
      </c>
    </row>
    <row r="10" customFormat="false" ht="15" hidden="false" customHeight="false" outlineLevel="0" collapsed="false">
      <c r="A10" s="10" t="s">
        <v>79</v>
      </c>
      <c r="B10" s="9" t="n">
        <f aca="false">B9*12</f>
        <v>22800</v>
      </c>
      <c r="C10" s="9" t="n">
        <f aca="false">C9*12</f>
        <v>27600</v>
      </c>
      <c r="D10" s="9" t="n">
        <f aca="false">D9*12</f>
        <v>45600</v>
      </c>
      <c r="E10" s="9" t="n">
        <f aca="false">E9*12</f>
        <v>73200</v>
      </c>
      <c r="F10" s="9" t="n">
        <f aca="false">F9*12</f>
        <v>78000</v>
      </c>
      <c r="G10" s="9" t="n">
        <f aca="false">G9*12</f>
        <v>81600</v>
      </c>
      <c r="H10" s="9" t="n">
        <f aca="false">H9*12</f>
        <v>96000</v>
      </c>
      <c r="I10" s="9" t="n">
        <f aca="false">I9*12</f>
        <v>96000</v>
      </c>
      <c r="J10" s="9" t="n">
        <f aca="false">J9*12</f>
        <v>79200</v>
      </c>
      <c r="K10" s="9" t="n">
        <f aca="false">K9*12</f>
        <v>78000</v>
      </c>
      <c r="L10" s="9" t="n">
        <f aca="false">L9*12</f>
        <v>78000</v>
      </c>
      <c r="M10" s="9" t="n">
        <f aca="false">M9*12</f>
        <v>78000</v>
      </c>
    </row>
    <row r="11" customFormat="false" ht="15" hidden="false" customHeight="false" outlineLevel="0" collapsed="false">
      <c r="A11" s="10" t="s">
        <v>80</v>
      </c>
      <c r="B11" s="6" t="n">
        <f aca="false">'Deferred Rev'!E5</f>
        <v>20900</v>
      </c>
      <c r="C11" s="6" t="n">
        <f aca="false">'Deferred Rev'!E6</f>
        <v>23400</v>
      </c>
      <c r="D11" s="6" t="n">
        <f aca="false">'Deferred Rev'!E7</f>
        <v>37600</v>
      </c>
      <c r="E11" s="6" t="n">
        <f aca="false">'Deferred Rev'!E8</f>
        <v>50300</v>
      </c>
      <c r="F11" s="6" t="n">
        <f aca="false">'Deferred Rev'!E9</f>
        <v>49400</v>
      </c>
      <c r="G11" s="6" t="n">
        <f aca="false">'Deferred Rev'!E10</f>
        <v>43700</v>
      </c>
      <c r="H11" s="6" t="n">
        <f aca="false">'Deferred Rev'!E11</f>
        <v>36500</v>
      </c>
      <c r="I11" s="6" t="n">
        <f aca="false">'Deferred Rev'!E12</f>
        <v>33500</v>
      </c>
      <c r="J11" s="6" t="n">
        <f aca="false">'Deferred Rev'!E13</f>
        <v>21700</v>
      </c>
      <c r="K11" s="6" t="n">
        <f aca="false">'Deferred Rev'!E14</f>
        <v>17700</v>
      </c>
      <c r="L11" s="6" t="n">
        <f aca="false">'Deferred Rev'!E15</f>
        <v>13700</v>
      </c>
      <c r="M11" s="6" t="n">
        <f aca="false">'Deferred Rev'!E16</f>
        <v>9700</v>
      </c>
    </row>
    <row r="12" customFormat="false" ht="15" hidden="false" customHeight="false" outlineLevel="0" collapsed="false">
      <c r="A12" s="10" t="s">
        <v>81</v>
      </c>
      <c r="B12" s="17" t="n">
        <f aca="false">'NRR Cohort'!B15</f>
        <v>1</v>
      </c>
      <c r="C12" s="17" t="n">
        <f aca="false">'NRR Cohort'!C15</f>
        <v>1</v>
      </c>
      <c r="D12" s="17" t="n">
        <f aca="false">'NRR Cohort'!D15</f>
        <v>1</v>
      </c>
      <c r="E12" s="17" t="n">
        <f aca="false">'NRR Cohort'!E15</f>
        <v>1</v>
      </c>
      <c r="F12" s="17" t="n">
        <f aca="false">'NRR Cohort'!F15</f>
        <v>1</v>
      </c>
      <c r="G12" s="17" t="n">
        <f aca="false">'NRR Cohort'!G15</f>
        <v>1.10526315789474</v>
      </c>
      <c r="H12" s="17" t="n">
        <f aca="false">'NRR Cohort'!H15</f>
        <v>0.947368421052632</v>
      </c>
      <c r="I12" s="17" t="n">
        <f aca="false">'NRR Cohort'!I15</f>
        <v>0.947368421052632</v>
      </c>
      <c r="J12" s="17" t="n">
        <f aca="false">'NRR Cohort'!J15</f>
        <v>0.947368421052632</v>
      </c>
      <c r="K12" s="17" t="n">
        <f aca="false">'NRR Cohort'!K15</f>
        <v>0.947368421052632</v>
      </c>
      <c r="L12" s="17" t="n">
        <f aca="false">'NRR Cohort'!L15</f>
        <v>0.947368421052632</v>
      </c>
      <c r="M12" s="17" t="n">
        <f aca="false">'NRR Cohort'!M15</f>
        <v>0.947368421052632</v>
      </c>
    </row>
    <row r="14" customFormat="false" ht="15" hidden="false" customHeight="false" outlineLevel="0" collapsed="false">
      <c r="A14" s="15" t="s">
        <v>82</v>
      </c>
    </row>
    <row r="15" customFormat="false" ht="15" hidden="false" customHeight="false" outlineLevel="0" collapsed="false">
      <c r="A15" s="18" t="s">
        <v>83</v>
      </c>
    </row>
    <row r="16" customFormat="false" ht="15" hidden="false" customHeight="false" outlineLevel="0" collapsed="false">
      <c r="A16" s="18" t="s">
        <v>84</v>
      </c>
    </row>
    <row r="17" customFormat="false" ht="15" hidden="false" customHeight="false" outlineLevel="0" collapsed="false">
      <c r="A17" s="18" t="s">
        <v>85</v>
      </c>
    </row>
    <row r="18" customFormat="false" ht="15" hidden="false" customHeight="false" outlineLevel="0" collapsed="false">
      <c r="A18" s="18" t="s">
        <v>86</v>
      </c>
    </row>
    <row r="19" customFormat="false" ht="15" hidden="false" customHeight="false" outlineLevel="0" collapsed="false">
      <c r="A19" s="18" t="s">
        <v>87</v>
      </c>
    </row>
    <row r="20" customFormat="false" ht="15" hidden="false" customHeight="false" outlineLevel="0" collapsed="false">
      <c r="A20" s="18" t="s">
        <v>88</v>
      </c>
    </row>
    <row r="21" customFormat="false" ht="15" hidden="false" customHeight="false" outlineLevel="0" collapsed="false">
      <c r="A21" s="18" t="s">
        <v>89</v>
      </c>
    </row>
    <row r="22" customFormat="false" ht="15" hidden="false" customHeight="false" outlineLevel="0" collapsed="false">
      <c r="A22" s="18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9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12" t="s">
        <v>93</v>
      </c>
    </row>
    <row r="5" customFormat="false" ht="23.85" hidden="false" customHeight="false" outlineLevel="0" collapsed="false">
      <c r="A5" s="3" t="s">
        <v>3</v>
      </c>
      <c r="B5" s="3" t="s">
        <v>94</v>
      </c>
      <c r="C5" s="3" t="s">
        <v>95</v>
      </c>
      <c r="D5" s="3" t="s">
        <v>96</v>
      </c>
      <c r="E5" s="3" t="s">
        <v>97</v>
      </c>
    </row>
    <row r="6" customFormat="false" ht="15" hidden="false" customHeight="false" outlineLevel="0" collapsed="false">
      <c r="A6" s="4" t="s">
        <v>14</v>
      </c>
      <c r="B6" s="5" t="n">
        <v>400</v>
      </c>
      <c r="C6" s="4" t="s">
        <v>98</v>
      </c>
      <c r="D6" s="4" t="s">
        <v>28</v>
      </c>
      <c r="E6" s="5" t="n">
        <v>200</v>
      </c>
    </row>
    <row r="7" customFormat="false" ht="15" hidden="false" customHeight="false" outlineLevel="0" collapsed="false">
      <c r="A7" s="4" t="s">
        <v>19</v>
      </c>
      <c r="B7" s="5" t="n">
        <v>1500</v>
      </c>
      <c r="C7" s="4" t="s">
        <v>99</v>
      </c>
      <c r="D7" s="4" t="s">
        <v>32</v>
      </c>
      <c r="E7" s="5" t="n">
        <v>-300</v>
      </c>
    </row>
    <row r="8" customFormat="false" ht="15" hidden="false" customHeight="false" outlineLevel="0" collapsed="false">
      <c r="A8" s="12" t="s">
        <v>100</v>
      </c>
    </row>
    <row r="9" customFormat="false" ht="15" hidden="false" customHeight="false" outlineLevel="0" collapsed="false">
      <c r="A9" s="3" t="s">
        <v>55</v>
      </c>
      <c r="B9" s="3" t="s">
        <v>17</v>
      </c>
      <c r="C9" s="3" t="s">
        <v>38</v>
      </c>
      <c r="D9" s="3" t="s">
        <v>41</v>
      </c>
      <c r="E9" s="3" t="s">
        <v>22</v>
      </c>
      <c r="F9" s="3" t="s">
        <v>24</v>
      </c>
      <c r="G9" s="3" t="s">
        <v>28</v>
      </c>
      <c r="H9" s="3" t="s">
        <v>32</v>
      </c>
      <c r="I9" s="3" t="s">
        <v>34</v>
      </c>
      <c r="J9" s="3" t="s">
        <v>36</v>
      </c>
      <c r="K9" s="3" t="s">
        <v>30</v>
      </c>
      <c r="L9" s="3" t="s">
        <v>49</v>
      </c>
      <c r="M9" s="3" t="s">
        <v>50</v>
      </c>
    </row>
    <row r="10" customFormat="false" ht="15" hidden="false" customHeight="false" outlineLevel="0" collapsed="false">
      <c r="A10" s="10" t="s">
        <v>94</v>
      </c>
      <c r="B10" s="6" t="n">
        <f aca="false">1900</f>
        <v>1900</v>
      </c>
      <c r="C10" s="6" t="n">
        <f aca="false">1900</f>
        <v>1900</v>
      </c>
      <c r="D10" s="6" t="n">
        <f aca="false">1900</f>
        <v>1900</v>
      </c>
      <c r="E10" s="6" t="n">
        <f aca="false">1900</f>
        <v>1900</v>
      </c>
      <c r="F10" s="6" t="n">
        <f aca="false">1900</f>
        <v>1900</v>
      </c>
      <c r="G10" s="6" t="n">
        <f aca="false">1900</f>
        <v>1900</v>
      </c>
      <c r="H10" s="6" t="n">
        <f aca="false">1900</f>
        <v>1900</v>
      </c>
      <c r="I10" s="6" t="n">
        <f aca="false">1900</f>
        <v>1900</v>
      </c>
      <c r="J10" s="6" t="n">
        <f aca="false">1900</f>
        <v>1900</v>
      </c>
      <c r="K10" s="6" t="n">
        <f aca="false">1900</f>
        <v>1900</v>
      </c>
      <c r="L10" s="6" t="n">
        <f aca="false">1900</f>
        <v>1900</v>
      </c>
      <c r="M10" s="6" t="n">
        <f aca="false">1900</f>
        <v>1900</v>
      </c>
    </row>
    <row r="11" customFormat="false" ht="15" hidden="false" customHeight="false" outlineLevel="0" collapsed="false">
      <c r="A11" s="10" t="s">
        <v>101</v>
      </c>
      <c r="B11" s="19" t="n">
        <f aca="false">0</f>
        <v>0</v>
      </c>
      <c r="C11" s="19" t="n">
        <f aca="false">0</f>
        <v>0</v>
      </c>
      <c r="D11" s="19" t="n">
        <f aca="false">0</f>
        <v>0</v>
      </c>
      <c r="E11" s="19" t="n">
        <f aca="false">0</f>
        <v>0</v>
      </c>
      <c r="F11" s="19" t="n">
        <f aca="false">0</f>
        <v>0</v>
      </c>
      <c r="G11" s="19" t="n">
        <f aca="false">200</f>
        <v>200</v>
      </c>
      <c r="H11" s="19" t="n">
        <f aca="false">200</f>
        <v>200</v>
      </c>
      <c r="I11" s="19" t="n">
        <f aca="false">200</f>
        <v>200</v>
      </c>
      <c r="J11" s="19" t="n">
        <f aca="false">200</f>
        <v>200</v>
      </c>
      <c r="K11" s="19" t="n">
        <f aca="false">200</f>
        <v>200</v>
      </c>
      <c r="L11" s="19" t="n">
        <f aca="false">200</f>
        <v>200</v>
      </c>
      <c r="M11" s="19" t="n">
        <f aca="false">200</f>
        <v>200</v>
      </c>
    </row>
    <row r="12" customFormat="false" ht="15" hidden="false" customHeight="false" outlineLevel="0" collapsed="false">
      <c r="A12" s="10" t="s">
        <v>102</v>
      </c>
      <c r="B12" s="19" t="n">
        <f aca="false">0</f>
        <v>0</v>
      </c>
      <c r="C12" s="19" t="n">
        <f aca="false">0</f>
        <v>0</v>
      </c>
      <c r="D12" s="19" t="n">
        <f aca="false">0</f>
        <v>0</v>
      </c>
      <c r="E12" s="19" t="n">
        <f aca="false">0</f>
        <v>0</v>
      </c>
      <c r="F12" s="19" t="n">
        <f aca="false">0</f>
        <v>0</v>
      </c>
      <c r="G12" s="19" t="n">
        <f aca="false">0</f>
        <v>0</v>
      </c>
      <c r="H12" s="19" t="n">
        <f aca="false">300</f>
        <v>300</v>
      </c>
      <c r="I12" s="19" t="n">
        <f aca="false">300</f>
        <v>300</v>
      </c>
      <c r="J12" s="19" t="n">
        <f aca="false">300</f>
        <v>300</v>
      </c>
      <c r="K12" s="19" t="n">
        <f aca="false">300</f>
        <v>300</v>
      </c>
      <c r="L12" s="19" t="n">
        <f aca="false">300</f>
        <v>300</v>
      </c>
      <c r="M12" s="19" t="n">
        <f aca="false">300</f>
        <v>300</v>
      </c>
    </row>
    <row r="13" customFormat="false" ht="15" hidden="false" customHeight="false" outlineLevel="0" collapsed="false">
      <c r="A13" s="10" t="s">
        <v>103</v>
      </c>
      <c r="B13" s="19" t="n">
        <f aca="false">0</f>
        <v>0</v>
      </c>
      <c r="C13" s="19" t="n">
        <f aca="false">0</f>
        <v>0</v>
      </c>
      <c r="D13" s="19" t="n">
        <f aca="false">0</f>
        <v>0</v>
      </c>
      <c r="E13" s="19" t="n">
        <f aca="false">0</f>
        <v>0</v>
      </c>
      <c r="F13" s="19" t="n">
        <f aca="false">0</f>
        <v>0</v>
      </c>
      <c r="G13" s="19" t="n">
        <f aca="false">0</f>
        <v>0</v>
      </c>
      <c r="H13" s="19" t="n">
        <f aca="false">0</f>
        <v>0</v>
      </c>
      <c r="I13" s="19" t="n">
        <f aca="false">0</f>
        <v>0</v>
      </c>
      <c r="J13" s="19" t="n">
        <f aca="false">0</f>
        <v>0</v>
      </c>
      <c r="K13" s="19" t="n">
        <f aca="false">0</f>
        <v>0</v>
      </c>
      <c r="L13" s="19" t="n">
        <f aca="false">0</f>
        <v>0</v>
      </c>
      <c r="M13" s="19" t="n">
        <f aca="false">0</f>
        <v>0</v>
      </c>
    </row>
    <row r="14" customFormat="false" ht="15" hidden="false" customHeight="false" outlineLevel="0" collapsed="false">
      <c r="A14" s="10" t="s">
        <v>104</v>
      </c>
      <c r="B14" s="9" t="n">
        <f aca="false">B10+B11-B12-B13</f>
        <v>1900</v>
      </c>
      <c r="C14" s="9" t="n">
        <f aca="false">C10+C11-C12-C13</f>
        <v>1900</v>
      </c>
      <c r="D14" s="9" t="n">
        <f aca="false">D10+D11-D12-D13</f>
        <v>1900</v>
      </c>
      <c r="E14" s="9" t="n">
        <f aca="false">E10+E11-E12-E13</f>
        <v>1900</v>
      </c>
      <c r="F14" s="9" t="n">
        <f aca="false">F10+F11-F12-F13</f>
        <v>1900</v>
      </c>
      <c r="G14" s="9" t="n">
        <f aca="false">G10+G11-G12-G13</f>
        <v>2100</v>
      </c>
      <c r="H14" s="9" t="n">
        <f aca="false">H10+H11-H12-H13</f>
        <v>1800</v>
      </c>
      <c r="I14" s="9" t="n">
        <f aca="false">I10+I11-I12-I13</f>
        <v>1800</v>
      </c>
      <c r="J14" s="9" t="n">
        <f aca="false">J10+J11-J12-J13</f>
        <v>1800</v>
      </c>
      <c r="K14" s="9" t="n">
        <f aca="false">K10+K11-K12-K13</f>
        <v>1800</v>
      </c>
      <c r="L14" s="9" t="n">
        <f aca="false">L10+L11-L12-L13</f>
        <v>1800</v>
      </c>
      <c r="M14" s="9" t="n">
        <f aca="false">M10+M11-M12-M13</f>
        <v>1800</v>
      </c>
    </row>
    <row r="15" customFormat="false" ht="15" hidden="false" customHeight="false" outlineLevel="0" collapsed="false">
      <c r="A15" s="10" t="s">
        <v>105</v>
      </c>
      <c r="B15" s="20" t="n">
        <f aca="false">IF(B10=0,1,B14/B10)</f>
        <v>1</v>
      </c>
      <c r="C15" s="20" t="n">
        <f aca="false">IF(C10=0,1,C14/C10)</f>
        <v>1</v>
      </c>
      <c r="D15" s="20" t="n">
        <f aca="false">IF(D10=0,1,D14/D10)</f>
        <v>1</v>
      </c>
      <c r="E15" s="20" t="n">
        <f aca="false">IF(E10=0,1,E14/E10)</f>
        <v>1</v>
      </c>
      <c r="F15" s="20" t="n">
        <f aca="false">IF(F10=0,1,F14/F10)</f>
        <v>1</v>
      </c>
      <c r="G15" s="20" t="n">
        <f aca="false">IF(G10=0,1,G14/G10)</f>
        <v>1.10526315789474</v>
      </c>
      <c r="H15" s="20" t="n">
        <f aca="false">IF(H10=0,1,H14/H10)</f>
        <v>0.947368421052632</v>
      </c>
      <c r="I15" s="20" t="n">
        <f aca="false">IF(I10=0,1,I14/I10)</f>
        <v>0.947368421052632</v>
      </c>
      <c r="J15" s="20" t="n">
        <f aca="false">IF(J10=0,1,J14/J10)</f>
        <v>0.947368421052632</v>
      </c>
      <c r="K15" s="20" t="n">
        <f aca="false">IF(K10=0,1,K14/K10)</f>
        <v>0.947368421052632</v>
      </c>
      <c r="L15" s="20" t="n">
        <f aca="false">IF(L10=0,1,L14/L10)</f>
        <v>0.947368421052632</v>
      </c>
      <c r="M15" s="20" t="n">
        <f aca="false">IF(M10=0,1,M14/M10)</f>
        <v>0.947368421052632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2026-08-16T17:28:29Z</dcterms:created>
  <dc:creator>openpyxl</dc:creator>
  <dc:description/>
  <dc:language>en-US</dc:language>
  <cp:lastModifiedBy/>
  <dcterms:modified xsi:type="dcterms:W3CDTF">2026-08-16T17:28:29Z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